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utoliv-my.sharepoint.com/personal/abhinay_sharma_autoliv_com/Documents/Desktop/"/>
    </mc:Choice>
  </mc:AlternateContent>
  <xr:revisionPtr revIDLastSave="1" documentId="8_{5AF3AF3E-1942-4694-A2C6-5E6DDC9F8F73}" xr6:coauthVersionLast="47" xr6:coauthVersionMax="47" xr10:uidLastSave="{E316C314-0F87-417F-B90C-1AADDC573ED8}"/>
  <bookViews>
    <workbookView xWindow="-110" yWindow="-110" windowWidth="19420" windowHeight="10300" firstSheet="11" activeTab="14" xr2:uid="{00000000-000D-0000-FFFF-FFFF00000000}"/>
  </bookViews>
  <sheets>
    <sheet name="KML Manesar 1228" sheetId="1" r:id="rId1"/>
    <sheet name="KML Narshinghpur 1227" sheetId="6" r:id="rId2"/>
    <sheet name="KML Kharkhoda 1647" sheetId="11" r:id="rId3"/>
    <sheet name="BSL Manesar 1223" sheetId="7" r:id="rId4"/>
    <sheet name="BSL Gurgaon 1222" sheetId="8" r:id="rId5"/>
    <sheet name="BSL Kharkhoda 1643" sheetId="9" r:id="rId6"/>
    <sheet name="Renault Chennai 1346" sheetId="10" r:id="rId7"/>
    <sheet name="Skoda VW 1502" sheetId="14" r:id="rId8"/>
    <sheet name="Mahindra Haridwar 1244" sheetId="16" r:id="rId9"/>
    <sheet name="TS Tech Neemrana 1193" sheetId="17" r:id="rId10"/>
    <sheet name="MSIL Kharkhoda 1640" sheetId="20" r:id="rId11"/>
    <sheet name="MSIL Manesar 1231" sheetId="19" r:id="rId12"/>
    <sheet name="MSIL GGN 1642" sheetId="18" r:id="rId13"/>
    <sheet name="Sheet1" sheetId="22" r:id="rId14"/>
    <sheet name="Honda Car 1089" sheetId="21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0" l="1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G2" i="16" l="1"/>
  <c r="G3" i="14"/>
  <c r="G4" i="14"/>
  <c r="G5" i="14"/>
  <c r="G6" i="14"/>
  <c r="G7" i="14"/>
  <c r="G8" i="14"/>
  <c r="G2" i="14"/>
  <c r="G3" i="10"/>
  <c r="G4" i="10"/>
  <c r="G2" i="10"/>
  <c r="G3" i="9" l="1"/>
  <c r="G2" i="9"/>
  <c r="G5" i="8"/>
  <c r="G4" i="8"/>
  <c r="G3" i="8"/>
  <c r="G2" i="8"/>
  <c r="G5" i="7"/>
  <c r="G4" i="7"/>
  <c r="F4" i="7"/>
  <c r="G3" i="7"/>
  <c r="G2" i="7"/>
  <c r="G4" i="11"/>
  <c r="G3" i="11"/>
  <c r="G2" i="1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F11" i="1"/>
  <c r="F6" i="1"/>
</calcChain>
</file>

<file path=xl/sharedStrings.xml><?xml version="1.0" encoding="utf-8"?>
<sst xmlns="http://schemas.openxmlformats.org/spreadsheetml/2006/main" count="2107" uniqueCount="651">
  <si>
    <t>Customer Code</t>
  </si>
  <si>
    <t>Custmer Part</t>
  </si>
  <si>
    <t>QAD part</t>
  </si>
  <si>
    <t>Description</t>
  </si>
  <si>
    <t>SNP</t>
  </si>
  <si>
    <t>PLAN</t>
  </si>
  <si>
    <t>Bin</t>
  </si>
  <si>
    <t>YHT320430</t>
  </si>
  <si>
    <t>640402700C</t>
  </si>
  <si>
    <t>BUCKLE ASSY - (84910-72R20) V6N</t>
  </si>
  <si>
    <t>YHT320440</t>
  </si>
  <si>
    <t>640402800C</t>
  </si>
  <si>
    <t>BUCKLE ASSY - (84910-72R10) V6N</t>
  </si>
  <si>
    <t>YHT320400</t>
  </si>
  <si>
    <t>640402701C</t>
  </si>
  <si>
    <t>BUCKLE ASSY - (84910-72R20) 5PK</t>
  </si>
  <si>
    <t>YHT320410</t>
  </si>
  <si>
    <t>640402801C</t>
  </si>
  <si>
    <t>BUCKLE ASSY - (84910-72R10) 5PK</t>
  </si>
  <si>
    <t>YHA152000</t>
  </si>
  <si>
    <t>658278200C</t>
  </si>
  <si>
    <t>MODULE ASSY SIDE AIR BAG LH(YHB)</t>
  </si>
  <si>
    <t>YHA252000</t>
  </si>
  <si>
    <t>658278100C</t>
  </si>
  <si>
    <t>MODULE ASSY SIDE AIR BAG RH (YHB)</t>
  </si>
  <si>
    <t>YHA252010</t>
  </si>
  <si>
    <t>658870900B</t>
  </si>
  <si>
    <t>MODULE ASSY,SIDE AIR BAG,R ( YHC)</t>
  </si>
  <si>
    <t>YHA152010</t>
  </si>
  <si>
    <t>658872100B</t>
  </si>
  <si>
    <t>MODULE ASSY,SIDE AIR BAG,L(YHC)</t>
  </si>
  <si>
    <t>YHT320470</t>
  </si>
  <si>
    <t>659872300A</t>
  </si>
  <si>
    <t>BUCKLE ASSY 84910-72R30 5PK</t>
  </si>
  <si>
    <t>EET320410</t>
  </si>
  <si>
    <t>662939401B</t>
  </si>
  <si>
    <t>YED NB BUCKLE SINGLE CO-DRIVER LH</t>
  </si>
  <si>
    <t>EET320400</t>
  </si>
  <si>
    <t>662939201B</t>
  </si>
  <si>
    <t>YED NB BUCKLE SINGLE DRIVER RH</t>
  </si>
  <si>
    <t>YET320400</t>
  </si>
  <si>
    <t>662939202B</t>
  </si>
  <si>
    <t>YED BUCKLE SINGLE</t>
  </si>
  <si>
    <t>YET320410</t>
  </si>
  <si>
    <t>662939402B</t>
  </si>
  <si>
    <t>KT3044300</t>
  </si>
  <si>
    <t>643731600C</t>
  </si>
  <si>
    <t>YG8 AMBULANCE 5PK KIT SEAT BELT 84908-78L4</t>
  </si>
  <si>
    <t>AET204401</t>
  </si>
  <si>
    <t>633621300C</t>
  </si>
  <si>
    <t>YJC BKL RH</t>
  </si>
  <si>
    <t>KT3044400</t>
  </si>
  <si>
    <t>617246201C</t>
  </si>
  <si>
    <t>YG8 3rd Row Buckle Assy,</t>
  </si>
  <si>
    <t>YST304431</t>
  </si>
  <si>
    <t>633849400B</t>
  </si>
  <si>
    <t>BUCKLE, SINGLE, K12AT 84910-56R21-5PK -YJC</t>
  </si>
  <si>
    <t>YNT320400</t>
  </si>
  <si>
    <t>653419600C</t>
  </si>
  <si>
    <t>YNC FRONT TPC BUCKLE 84910-81R00</t>
  </si>
  <si>
    <t>YNT320410</t>
  </si>
  <si>
    <t>650193300D</t>
  </si>
  <si>
    <t>YNC FRONT TPC BUCKLE DR 84910-81R40</t>
  </si>
  <si>
    <t>KT3044010</t>
  </si>
  <si>
    <t>659415900A</t>
  </si>
  <si>
    <t>84910-78TA0 5PK YG8EXPORT</t>
  </si>
  <si>
    <t>KT1044000</t>
  </si>
  <si>
    <t>645722600C</t>
  </si>
  <si>
    <t>Buckle assy LH YG8 With MS</t>
  </si>
  <si>
    <t>KT2044000</t>
  </si>
  <si>
    <t>645005300C</t>
  </si>
  <si>
    <t>Buckle assy RH YG8 With MS</t>
  </si>
  <si>
    <t>Y1T320410</t>
  </si>
  <si>
    <t>647854900A</t>
  </si>
  <si>
    <t>Y1K FRT 5PK_BHE - TPC SINGLE BKLE - RH WRN</t>
  </si>
  <si>
    <t>Y1T320420</t>
  </si>
  <si>
    <t>647855000A</t>
  </si>
  <si>
    <t>Y1K FRT 5PK_BHE - TPC SINGLE BKLE - LH WRN</t>
  </si>
  <si>
    <t>KT3044130</t>
  </si>
  <si>
    <t>665725200A</t>
  </si>
  <si>
    <t>Buckle Single K12A TPC,BUCKLE DRIVER SIDE,8491</t>
  </si>
  <si>
    <t>KT3044140</t>
  </si>
  <si>
    <t>665725400A</t>
  </si>
  <si>
    <t>Buckle Single K12A TPC,BUCKLE CO-DRIVER SIDE,</t>
  </si>
  <si>
    <t>KT3044301</t>
  </si>
  <si>
    <t>OEM Kit for SB, Service, QM, YG8 AMBULANCE, 5PK,</t>
  </si>
  <si>
    <t>KD4044021</t>
  </si>
  <si>
    <t>6185946K0C</t>
  </si>
  <si>
    <t>OEM Kit for SB, Service, QM, 3RD ROW CTR, YG8K12N</t>
  </si>
  <si>
    <t>Y7T320440(KS04)</t>
  </si>
  <si>
    <t>667589400B</t>
  </si>
  <si>
    <t>Y17, FR PASS, WEB TYPE, Buckle</t>
  </si>
  <si>
    <t>Y7T320430(KS04)</t>
  </si>
  <si>
    <t>668028700B</t>
  </si>
  <si>
    <t>Y17, FR DR, WEB TYPE, 84 Buckle</t>
  </si>
  <si>
    <t>Y7T320420(KS04)</t>
  </si>
  <si>
    <t>668028800B</t>
  </si>
  <si>
    <t>Y17, FR DR PWR, WEB TYPE</t>
  </si>
  <si>
    <t>AYCA088</t>
  </si>
  <si>
    <t>641705500A</t>
  </si>
  <si>
    <t>YCA BKL RH</t>
  </si>
  <si>
    <t>AYCA089</t>
  </si>
  <si>
    <t>646010800A</t>
  </si>
  <si>
    <t>YCA BKL LH</t>
  </si>
  <si>
    <t>AYXA040</t>
  </si>
  <si>
    <t>655257000D</t>
  </si>
  <si>
    <t>YXA SAB RH</t>
  </si>
  <si>
    <t>AYXA041</t>
  </si>
  <si>
    <t>655257100D</t>
  </si>
  <si>
    <t>YXA SAB LH</t>
  </si>
  <si>
    <t>AY0MRC027</t>
  </si>
  <si>
    <t>Buckle assy LH MODEL-Y0M</t>
  </si>
  <si>
    <t>AY0MRC026</t>
  </si>
  <si>
    <t>Buckle assy RH MODEL-Y0M</t>
  </si>
  <si>
    <t>YXA  SAB  RH</t>
  </si>
  <si>
    <t>YXA  SAB  LH</t>
  </si>
  <si>
    <t xml:space="preserve">48400-0244R  </t>
  </si>
  <si>
    <t xml:space="preserve">48400-6897R  </t>
  </si>
  <si>
    <t xml:space="preserve">48400-1490R  </t>
  </si>
  <si>
    <t>651073200F</t>
  </si>
  <si>
    <t>SW Foam, HBC SW MID</t>
  </si>
  <si>
    <t>667411801A</t>
  </si>
  <si>
    <t>SW Leather, Artificial L</t>
  </si>
  <si>
    <t>644815000E</t>
  </si>
  <si>
    <t>SW Foam, Service</t>
  </si>
  <si>
    <t>6JR 419 089 YMH</t>
  </si>
  <si>
    <t>6JR 419 089 C VDH</t>
  </si>
  <si>
    <t>6JR 419 089 E VDH</t>
  </si>
  <si>
    <t>6JR 419 089 E BTZ</t>
  </si>
  <si>
    <t>6JR 419 089 E NID</t>
  </si>
  <si>
    <t>6JR 419 089 C BTZ</t>
  </si>
  <si>
    <t>6JR 419 089 D OFE</t>
  </si>
  <si>
    <t>657853600A</t>
  </si>
  <si>
    <t>657853700A</t>
  </si>
  <si>
    <t>657854300A</t>
  </si>
  <si>
    <t>657854301A</t>
  </si>
  <si>
    <t>657854302A</t>
  </si>
  <si>
    <t>657853701A</t>
  </si>
  <si>
    <t>657854201A</t>
  </si>
  <si>
    <t>SW FOAM, VW, 480PA</t>
  </si>
  <si>
    <t>SW LEATHER, WITHOUT MAT,</t>
  </si>
  <si>
    <t>SW Leather, Top Grain, V</t>
  </si>
  <si>
    <t>627539200HA</t>
  </si>
  <si>
    <t>1106ABC00021A</t>
  </si>
  <si>
    <t>U301 - SW FOAMHIGH PLUS</t>
  </si>
  <si>
    <t>639774300D</t>
  </si>
  <si>
    <t>81455-TSV-D912-M1-B</t>
  </si>
  <si>
    <t>BUCKLE, SINGLE, K12AT TP</t>
  </si>
  <si>
    <t>644178000D</t>
  </si>
  <si>
    <t>81855-TSV-D713-M1-B</t>
  </si>
  <si>
    <t>8145531X J013M1</t>
  </si>
  <si>
    <t>6609220CDC</t>
  </si>
  <si>
    <t>HONDA 3US, FR-RH, J0</t>
  </si>
  <si>
    <t>81855TZA J113M1</t>
  </si>
  <si>
    <t>661804700B</t>
  </si>
  <si>
    <t xml:space="preserve"> HONDA 3US, FR-LH, J0</t>
  </si>
  <si>
    <t>78000-T02-T821-M1</t>
  </si>
  <si>
    <t>666577400B</t>
  </si>
  <si>
    <t>HONDA FSAB 2 Chamber, RH</t>
  </si>
  <si>
    <t>78005-T02-T821-M1</t>
  </si>
  <si>
    <t>666577300B</t>
  </si>
  <si>
    <t>HONDA FSAB 2 Chamber, LH</t>
  </si>
  <si>
    <t>KANBAN NO</t>
  </si>
  <si>
    <t>PART NUMBER</t>
  </si>
  <si>
    <t>ALV PART</t>
  </si>
  <si>
    <t>PART NAME</t>
  </si>
  <si>
    <t>SUPPLY DATE</t>
  </si>
  <si>
    <t>SUPPLY TIME</t>
  </si>
  <si>
    <t>UNLOADING LOC</t>
  </si>
  <si>
    <t>USAGE LOC</t>
  </si>
  <si>
    <t>QUANTITY</t>
  </si>
  <si>
    <t>QUANTITY DESPATCHED</t>
  </si>
  <si>
    <t>QUANTITY REJECTED</t>
  </si>
  <si>
    <t>VENDOR CODE</t>
  </si>
  <si>
    <t>14X575894033AR1</t>
  </si>
  <si>
    <t>73112M66T00</t>
  </si>
  <si>
    <t>CHANNEL,PASSENGER AIR BAG</t>
  </si>
  <si>
    <t>BR-06</t>
  </si>
  <si>
    <t>AR1</t>
  </si>
  <si>
    <t>A749</t>
  </si>
  <si>
    <t>14X575894041AR1</t>
  </si>
  <si>
    <t>13X575511363AR1</t>
  </si>
  <si>
    <t>14X575894050AR1</t>
  </si>
  <si>
    <t>14X575894068AR1</t>
  </si>
  <si>
    <t>73910M66T00</t>
  </si>
  <si>
    <t>MODULE ASSY,PASSENGER AIR BAG</t>
  </si>
  <si>
    <t>AR-F1</t>
  </si>
  <si>
    <t>14X575894076AR1</t>
  </si>
  <si>
    <t>14X575894084AR1</t>
  </si>
  <si>
    <t>14X575894092AR1</t>
  </si>
  <si>
    <t>76480M66T00</t>
  </si>
  <si>
    <t>MODULE ASSY,ROOF SIDE AIRBAG,R</t>
  </si>
  <si>
    <t>AR-B3</t>
  </si>
  <si>
    <t>14X575894106AR1</t>
  </si>
  <si>
    <t>14X575894114AR1</t>
  </si>
  <si>
    <t>14X575894122AR1</t>
  </si>
  <si>
    <t>76490M66T00</t>
  </si>
  <si>
    <t>MODULE ASSY,ROOF SIDE AIRBAG,L</t>
  </si>
  <si>
    <t>14X575894130AR1</t>
  </si>
  <si>
    <t>14X575894149AR1</t>
  </si>
  <si>
    <t>14X575860872AR2</t>
  </si>
  <si>
    <t>84920M71U00-BHE</t>
  </si>
  <si>
    <t>TONGUE ASSY,FR,R</t>
  </si>
  <si>
    <t>AR-C6</t>
  </si>
  <si>
    <t>AR2</t>
  </si>
  <si>
    <t>14X575860880AR2</t>
  </si>
  <si>
    <t>14X575860899AR2</t>
  </si>
  <si>
    <t>14X575860902AR2</t>
  </si>
  <si>
    <t>84940M71U00-BHE</t>
  </si>
  <si>
    <t>TONGUE ASSY,FR,L</t>
  </si>
  <si>
    <t>14X575860910AR2</t>
  </si>
  <si>
    <t>14X575860929AR2</t>
  </si>
  <si>
    <t>14X575860937AR2</t>
  </si>
  <si>
    <t>84950M71U10-5PK</t>
  </si>
  <si>
    <t>BUCKLE ASSY,RR</t>
  </si>
  <si>
    <t>14X575860945AR2</t>
  </si>
  <si>
    <t>14X575860953AR2</t>
  </si>
  <si>
    <t>14X575860961AR2</t>
  </si>
  <si>
    <t>84960M71U00-5PK</t>
  </si>
  <si>
    <t>TONGUE ASSY,RR,R</t>
  </si>
  <si>
    <t>AR-B8</t>
  </si>
  <si>
    <t>14X575860970AR2</t>
  </si>
  <si>
    <t>14X575860988AR2</t>
  </si>
  <si>
    <t>14X575860996AR2</t>
  </si>
  <si>
    <t>84970M71U10-5PK</t>
  </si>
  <si>
    <t>BUCKLE ASSY,RR,L</t>
  </si>
  <si>
    <t>14X575861003AR2</t>
  </si>
  <si>
    <t>14X575861011AR2</t>
  </si>
  <si>
    <t>14X575861020AR2</t>
  </si>
  <si>
    <t>84975M71U00-5PK</t>
  </si>
  <si>
    <t>BUCKLE ASSY,RR CTR</t>
  </si>
  <si>
    <t>14X575861038AR2</t>
  </si>
  <si>
    <t>14X575861046AR2</t>
  </si>
  <si>
    <t>14X575861054AR2</t>
  </si>
  <si>
    <t>84980M71U00-5PK</t>
  </si>
  <si>
    <t>TONGUE ASSY,RR,L</t>
  </si>
  <si>
    <t>14X575861062AR2</t>
  </si>
  <si>
    <t>14X575861070AR2</t>
  </si>
  <si>
    <t>14X575861089AR2</t>
  </si>
  <si>
    <t>84985M71U00-5PK</t>
  </si>
  <si>
    <t>TONGUE ASSY,RR CTR</t>
  </si>
  <si>
    <t>14X575861097AR2</t>
  </si>
  <si>
    <t>14X575861100AR2</t>
  </si>
  <si>
    <t>14X576403203A82</t>
  </si>
  <si>
    <t>48110M62S30-5PK</t>
  </si>
  <si>
    <t>WHEEL S/ASSY,STEERING</t>
  </si>
  <si>
    <t>A8-77</t>
  </si>
  <si>
    <t>A82</t>
  </si>
  <si>
    <t>14X576403211A82</t>
  </si>
  <si>
    <t>14X576391426A84</t>
  </si>
  <si>
    <t>48110M69R00-5PK</t>
  </si>
  <si>
    <t>A84</t>
  </si>
  <si>
    <t>14X576391434A84</t>
  </si>
  <si>
    <t>14X576240967A71</t>
  </si>
  <si>
    <t>48110M69R10-GJL</t>
  </si>
  <si>
    <t>A7-77</t>
  </si>
  <si>
    <t>A71</t>
  </si>
  <si>
    <t>14X576375617A85</t>
  </si>
  <si>
    <t>A85</t>
  </si>
  <si>
    <t>14X576240975A71</t>
  </si>
  <si>
    <t>14X576375625A85</t>
  </si>
  <si>
    <t>14X576240983A71</t>
  </si>
  <si>
    <t>14X576240991A71</t>
  </si>
  <si>
    <t>14X576241009A71</t>
  </si>
  <si>
    <t>14X576391442A84</t>
  </si>
  <si>
    <t>48110M69R20-GJL</t>
  </si>
  <si>
    <t>14X576391450A84</t>
  </si>
  <si>
    <t>48110M69R60-GJL</t>
  </si>
  <si>
    <t>14X576391469A84</t>
  </si>
  <si>
    <t>14X576241025A71</t>
  </si>
  <si>
    <t>48110M69R70-GJL</t>
  </si>
  <si>
    <t>14X576241033A71</t>
  </si>
  <si>
    <t>14X576924254A71</t>
  </si>
  <si>
    <t>14X576375633A85</t>
  </si>
  <si>
    <t>48150M69R00-C48</t>
  </si>
  <si>
    <t>MODULE ASSY,AIRBAG</t>
  </si>
  <si>
    <t>A8-26</t>
  </si>
  <si>
    <t>14X576403220A82</t>
  </si>
  <si>
    <t>14X576375641A85</t>
  </si>
  <si>
    <t>14X576403238A82</t>
  </si>
  <si>
    <t>14X576241041A71</t>
  </si>
  <si>
    <t>48150M69R20-C48</t>
  </si>
  <si>
    <t>A7-52</t>
  </si>
  <si>
    <t>14X576403246A82</t>
  </si>
  <si>
    <t>14X576241050A71</t>
  </si>
  <si>
    <t>14X576403254A82</t>
  </si>
  <si>
    <t>14X576241068A71</t>
  </si>
  <si>
    <t>14X576241076A71</t>
  </si>
  <si>
    <t>14X576391477A84</t>
  </si>
  <si>
    <t>48150M81RA0-5PK</t>
  </si>
  <si>
    <t>14X576395324A84</t>
  </si>
  <si>
    <t>14X576263851A68</t>
  </si>
  <si>
    <t>B6-01</t>
  </si>
  <si>
    <t>A68</t>
  </si>
  <si>
    <t>14X576263860A68</t>
  </si>
  <si>
    <t>14X576263878A68</t>
  </si>
  <si>
    <t>14X576263886A68</t>
  </si>
  <si>
    <t>14X577037170A68</t>
  </si>
  <si>
    <t>14X576345564A74</t>
  </si>
  <si>
    <t>73112M75T00</t>
  </si>
  <si>
    <t>CHANNEL,PASSENGER AIRBAG</t>
  </si>
  <si>
    <t>A74</t>
  </si>
  <si>
    <t>14X576296954A62</t>
  </si>
  <si>
    <t>A62</t>
  </si>
  <si>
    <t>14X576345572A74</t>
  </si>
  <si>
    <t>14X576296962A62</t>
  </si>
  <si>
    <t>14X576345580A74</t>
  </si>
  <si>
    <t>14X576304671A62</t>
  </si>
  <si>
    <t>14X576304680A62</t>
  </si>
  <si>
    <t>14X576345599A74</t>
  </si>
  <si>
    <t>14X576345602A74</t>
  </si>
  <si>
    <t>14X576999696A62</t>
  </si>
  <si>
    <t>14X576890740A74</t>
  </si>
  <si>
    <t>14X576345629A74</t>
  </si>
  <si>
    <t>73112M75T50</t>
  </si>
  <si>
    <t>14X576345637A74</t>
  </si>
  <si>
    <t>14X576345645A74</t>
  </si>
  <si>
    <t>14X576345653A74</t>
  </si>
  <si>
    <t>14X576345661A74</t>
  </si>
  <si>
    <t>14X576890805A74</t>
  </si>
  <si>
    <t>14X576403262A82</t>
  </si>
  <si>
    <t>73910M62S00-5PK</t>
  </si>
  <si>
    <t>A8-50</t>
  </si>
  <si>
    <t>14X576403270A82</t>
  </si>
  <si>
    <t>14X576403289A82</t>
  </si>
  <si>
    <t>73910M62S50-5PK</t>
  </si>
  <si>
    <t>14X576403297A82</t>
  </si>
  <si>
    <t>14X576263908A68</t>
  </si>
  <si>
    <t>A6-05</t>
  </si>
  <si>
    <t>14X576263916A68</t>
  </si>
  <si>
    <t>14X576263924A68</t>
  </si>
  <si>
    <t>14X576263932A68</t>
  </si>
  <si>
    <t>14X576984354A75</t>
  </si>
  <si>
    <t>A75</t>
  </si>
  <si>
    <t>14X577037227A68</t>
  </si>
  <si>
    <t>14X576345688A74</t>
  </si>
  <si>
    <t>73910M75T00</t>
  </si>
  <si>
    <t>MODULE ASSY,PASSENGER AIRBAG</t>
  </si>
  <si>
    <t>14X576304701A62</t>
  </si>
  <si>
    <t>14X576382320A83</t>
  </si>
  <si>
    <t>A83</t>
  </si>
  <si>
    <t>14X576345696A74</t>
  </si>
  <si>
    <t>14X576304710A62</t>
  </si>
  <si>
    <t>14X576345700A74</t>
  </si>
  <si>
    <t>14X576304728A62</t>
  </si>
  <si>
    <t>14X576304736A62</t>
  </si>
  <si>
    <t>14X576345718A74</t>
  </si>
  <si>
    <t>14X576345726A74</t>
  </si>
  <si>
    <t>14X576999742A62</t>
  </si>
  <si>
    <t>14X576890864A74</t>
  </si>
  <si>
    <t>14X576395332A84</t>
  </si>
  <si>
    <t>73910M81R00-5PK</t>
  </si>
  <si>
    <t>14X576395340A84</t>
  </si>
  <si>
    <t>14X576395359A84</t>
  </si>
  <si>
    <t>73910M81R50-5PK</t>
  </si>
  <si>
    <t>A8-49</t>
  </si>
  <si>
    <t>14X576395367A84</t>
  </si>
  <si>
    <t>14X576263959A68</t>
  </si>
  <si>
    <t>A6-69</t>
  </si>
  <si>
    <t>14X576263967A68</t>
  </si>
  <si>
    <t>14X576263975A68</t>
  </si>
  <si>
    <t>14X576263983A68</t>
  </si>
  <si>
    <t>14X576984362A75</t>
  </si>
  <si>
    <t>A7-28</t>
  </si>
  <si>
    <t>14X577037278A68</t>
  </si>
  <si>
    <t>14X576264009A68</t>
  </si>
  <si>
    <t>14X576264017A68</t>
  </si>
  <si>
    <t>14X576264025A68</t>
  </si>
  <si>
    <t>14X576264033A68</t>
  </si>
  <si>
    <t>14X576984370A75</t>
  </si>
  <si>
    <t>14X577037324A68</t>
  </si>
  <si>
    <t>14X576403300A82</t>
  </si>
  <si>
    <t>84920M62S33-BHE</t>
  </si>
  <si>
    <t>TONGUE ASSY,FR BELT,R</t>
  </si>
  <si>
    <t>A8-23</t>
  </si>
  <si>
    <t>14X576403319A82</t>
  </si>
  <si>
    <t>14X576241092A71</t>
  </si>
  <si>
    <t>84920M69R23-BHE</t>
  </si>
  <si>
    <t>A7-13</t>
  </si>
  <si>
    <t>14X576375650A85</t>
  </si>
  <si>
    <t>14X576241106A71</t>
  </si>
  <si>
    <t>14X576241114A71</t>
  </si>
  <si>
    <t>14X576241122A71</t>
  </si>
  <si>
    <t>14X576924319A71</t>
  </si>
  <si>
    <t>14X576363562A65</t>
  </si>
  <si>
    <t>84920M72RA4-HLK</t>
  </si>
  <si>
    <t>A65</t>
  </si>
  <si>
    <t>14X576363570A65</t>
  </si>
  <si>
    <t>14X576315754A66</t>
  </si>
  <si>
    <t>84920M72RC4-BHE</t>
  </si>
  <si>
    <t>A66</t>
  </si>
  <si>
    <t>14X576315762A66</t>
  </si>
  <si>
    <t>14X576315770A66</t>
  </si>
  <si>
    <t>14X576315789A66</t>
  </si>
  <si>
    <t>14X577024591A66</t>
  </si>
  <si>
    <t>14X576363597A65</t>
  </si>
  <si>
    <t>84920M72RC4-HLK</t>
  </si>
  <si>
    <t>14X576363600A65</t>
  </si>
  <si>
    <t>14X576363619A65</t>
  </si>
  <si>
    <t>14X576921093A65</t>
  </si>
  <si>
    <t>14X576320936A64</t>
  </si>
  <si>
    <t>84920M72RC4-V6N</t>
  </si>
  <si>
    <t>A6-01</t>
  </si>
  <si>
    <t>A64</t>
  </si>
  <si>
    <t>14X576363635A65</t>
  </si>
  <si>
    <t>14X576320944A64</t>
  </si>
  <si>
    <t>14X576363643A65</t>
  </si>
  <si>
    <t>14X576320952A64</t>
  </si>
  <si>
    <t>14X576363651A65</t>
  </si>
  <si>
    <t>14X576320960A64</t>
  </si>
  <si>
    <t>14X576363660A65</t>
  </si>
  <si>
    <t>14X576921140A65</t>
  </si>
  <si>
    <t>14X577023382A64</t>
  </si>
  <si>
    <t>14X576345734A74</t>
  </si>
  <si>
    <t>84920M75T01-FHW</t>
  </si>
  <si>
    <t>A7-12</t>
  </si>
  <si>
    <t>14X576345750A74</t>
  </si>
  <si>
    <t>84920M75T01-QS9</t>
  </si>
  <si>
    <t>14X576304752A62</t>
  </si>
  <si>
    <t>14X576382338A83</t>
  </si>
  <si>
    <t>14X576345769A74</t>
  </si>
  <si>
    <t>14X576304760A62</t>
  </si>
  <si>
    <t>14X576345777A74</t>
  </si>
  <si>
    <t>14X576304779A62</t>
  </si>
  <si>
    <t>14X576304787A62</t>
  </si>
  <si>
    <t>14X576345785A74</t>
  </si>
  <si>
    <t>14X576345793A74</t>
  </si>
  <si>
    <t>14X576999793A62</t>
  </si>
  <si>
    <t>14X576890937A74</t>
  </si>
  <si>
    <t>14X576345815A74</t>
  </si>
  <si>
    <t>84920M75T10-FHW</t>
  </si>
  <si>
    <t>14X576345823A74</t>
  </si>
  <si>
    <t>14X576345831A74</t>
  </si>
  <si>
    <t>14X576345840A74</t>
  </si>
  <si>
    <t>14X576345866A74</t>
  </si>
  <si>
    <t>84920M75T10-QS9</t>
  </si>
  <si>
    <t>14X576345874A74</t>
  </si>
  <si>
    <t>14X576345882A74</t>
  </si>
  <si>
    <t>14X576345890A74</t>
  </si>
  <si>
    <t>14X576345904A74</t>
  </si>
  <si>
    <t>14X576891046A74</t>
  </si>
  <si>
    <t>14X576395375A84</t>
  </si>
  <si>
    <t>84920M81R12-BHE</t>
  </si>
  <si>
    <t>14X576395383A84</t>
  </si>
  <si>
    <t>14X576403327A82</t>
  </si>
  <si>
    <t>84940M62S33-BHE</t>
  </si>
  <si>
    <t>TONGUE ASSY,FR BELT,L</t>
  </si>
  <si>
    <t>14X576403335A82</t>
  </si>
  <si>
    <t>14X576375668A85</t>
  </si>
  <si>
    <t>84940M69R13-BHE</t>
  </si>
  <si>
    <t>14X576241149A71</t>
  </si>
  <si>
    <t>14X576375676A85</t>
  </si>
  <si>
    <t>14X576241157A71</t>
  </si>
  <si>
    <t>14X576241165A71</t>
  </si>
  <si>
    <t>14X576241173A71</t>
  </si>
  <si>
    <t>14X576924360A71</t>
  </si>
  <si>
    <t>14X576315800A66</t>
  </si>
  <si>
    <t>84940M72RA4-BHE</t>
  </si>
  <si>
    <t>14X576315819A66</t>
  </si>
  <si>
    <t>14X576315827A66</t>
  </si>
  <si>
    <t>14X576315835A66</t>
  </si>
  <si>
    <t>14X577024648A66</t>
  </si>
  <si>
    <t>14X576363686A65</t>
  </si>
  <si>
    <t>84940M72RA4-HLK</t>
  </si>
  <si>
    <t>14X576363694A65</t>
  </si>
  <si>
    <t>14X576363708A65</t>
  </si>
  <si>
    <t>14X576921190A65</t>
  </si>
  <si>
    <t>14X576320987A64</t>
  </si>
  <si>
    <t>84940M72RA4-V6N</t>
  </si>
  <si>
    <t>14X576363724A65</t>
  </si>
  <si>
    <t>14X576320995A64</t>
  </si>
  <si>
    <t>14X576363732A65</t>
  </si>
  <si>
    <t>14X576321002A64</t>
  </si>
  <si>
    <t>14X576363740A65</t>
  </si>
  <si>
    <t>14X576321010A64</t>
  </si>
  <si>
    <t>14X576363759A65</t>
  </si>
  <si>
    <t>14X576921247A65</t>
  </si>
  <si>
    <t>14X577023439A64</t>
  </si>
  <si>
    <t>14X576363767A65</t>
  </si>
  <si>
    <t>84940M72RC4-HLK</t>
  </si>
  <si>
    <t>14X576363775A65</t>
  </si>
  <si>
    <t>14X576345920A74</t>
  </si>
  <si>
    <t>84940M75T00-FHW</t>
  </si>
  <si>
    <t>14X576345939A74</t>
  </si>
  <si>
    <t>14X576345947A74</t>
  </si>
  <si>
    <t>14X576345955A74</t>
  </si>
  <si>
    <t>14X576345971A74</t>
  </si>
  <si>
    <t>84940M75T00-QS9</t>
  </si>
  <si>
    <t>14X576345980A74</t>
  </si>
  <si>
    <t>14X576345998A74</t>
  </si>
  <si>
    <t>14X576346005A74</t>
  </si>
  <si>
    <t>14X576346013A74</t>
  </si>
  <si>
    <t>14X576891143A74</t>
  </si>
  <si>
    <t>14X576346021A74</t>
  </si>
  <si>
    <t>84940M75T11-FHW</t>
  </si>
  <si>
    <t>14X576346048A74</t>
  </si>
  <si>
    <t>84940M75T11-QS9</t>
  </si>
  <si>
    <t>14X576304809A62</t>
  </si>
  <si>
    <t>14X576382346A83</t>
  </si>
  <si>
    <t>14X576346056A74</t>
  </si>
  <si>
    <t>14X576304817A62</t>
  </si>
  <si>
    <t>14X576346064A74</t>
  </si>
  <si>
    <t>14X576304825A62</t>
  </si>
  <si>
    <t>14X576304833A62</t>
  </si>
  <si>
    <t>14X576346072A74</t>
  </si>
  <si>
    <t>14X576346080A74</t>
  </si>
  <si>
    <t>14X576999840A62</t>
  </si>
  <si>
    <t>14X576901831A74</t>
  </si>
  <si>
    <t>14X576395391A84</t>
  </si>
  <si>
    <t>84940M81R12-BHE</t>
  </si>
  <si>
    <t>14X576395405A84</t>
  </si>
  <si>
    <t>14X576147886A3C</t>
  </si>
  <si>
    <t>A3-35</t>
  </si>
  <si>
    <t>A3C</t>
  </si>
  <si>
    <t>14X576231429A3A</t>
  </si>
  <si>
    <t>A3A</t>
  </si>
  <si>
    <t>14X576231437A3A</t>
  </si>
  <si>
    <t>14X576147894A3C</t>
  </si>
  <si>
    <t>14X576231445A3A</t>
  </si>
  <si>
    <t>14X576147908A3C</t>
  </si>
  <si>
    <t>A3-60</t>
  </si>
  <si>
    <t>14X576231453A3A</t>
  </si>
  <si>
    <t>14X576147916A3C</t>
  </si>
  <si>
    <t>14X576231461A3A</t>
  </si>
  <si>
    <t>14X576147924A3C</t>
  </si>
  <si>
    <t>14X576231470A3A</t>
  </si>
  <si>
    <t>14X576147932A3C</t>
  </si>
  <si>
    <t>14X576231488A3A</t>
  </si>
  <si>
    <t>14X576147940A3C</t>
  </si>
  <si>
    <t>73910M53T00-QBQ</t>
  </si>
  <si>
    <t>A3-7</t>
  </si>
  <si>
    <t>14X576147959A3C</t>
  </si>
  <si>
    <t>14X576147967A3C</t>
  </si>
  <si>
    <t>73910M53T50-QBQ</t>
  </si>
  <si>
    <t>14X576157598A19</t>
  </si>
  <si>
    <t>73910M66R00-5PK</t>
  </si>
  <si>
    <t>A1-80</t>
  </si>
  <si>
    <t>A19</t>
  </si>
  <si>
    <t>14X576795268A19</t>
  </si>
  <si>
    <t>14X576221946A16</t>
  </si>
  <si>
    <t>73910M78T00-5PK</t>
  </si>
  <si>
    <t>A16</t>
  </si>
  <si>
    <t>14X576221954A16</t>
  </si>
  <si>
    <t>14X576235670A1M</t>
  </si>
  <si>
    <t>73910M80T00-5PK</t>
  </si>
  <si>
    <t>A2-29</t>
  </si>
  <si>
    <t>A1M</t>
  </si>
  <si>
    <t>14X576235688A1M</t>
  </si>
  <si>
    <t>14X576235696A1M</t>
  </si>
  <si>
    <t>73910M80T50-5PK</t>
  </si>
  <si>
    <t>14X576147975A3C</t>
  </si>
  <si>
    <t>84920M53T12-BHE</t>
  </si>
  <si>
    <t>A3-31</t>
  </si>
  <si>
    <t>14X576147983A3C</t>
  </si>
  <si>
    <t>14X576147991A3C</t>
  </si>
  <si>
    <t>84920M53T22-BHE</t>
  </si>
  <si>
    <t>14X576157601A19</t>
  </si>
  <si>
    <t>84920M66R14-BHE</t>
  </si>
  <si>
    <t>A1-32</t>
  </si>
  <si>
    <t>14X576157610A19</t>
  </si>
  <si>
    <t>14X576231496A3A</t>
  </si>
  <si>
    <t>14X576231500A3A</t>
  </si>
  <si>
    <t>14X576221962A16</t>
  </si>
  <si>
    <t>84920M78T01-5PK</t>
  </si>
  <si>
    <t>14X576221970A16</t>
  </si>
  <si>
    <t>84920M78U00-5PK</t>
  </si>
  <si>
    <t>14X576221989A16</t>
  </si>
  <si>
    <t>84920M78U00-BHE</t>
  </si>
  <si>
    <t>14X576221997A16</t>
  </si>
  <si>
    <t>14X576148009A3C</t>
  </si>
  <si>
    <t>84940M53T12-BHE</t>
  </si>
  <si>
    <t>14X576148017A3C</t>
  </si>
  <si>
    <t>14X576148025A3C</t>
  </si>
  <si>
    <t>84940M53T22-BHE</t>
  </si>
  <si>
    <t>14X576157628A19</t>
  </si>
  <si>
    <t>84940M66R14-BHE</t>
  </si>
  <si>
    <t>14X576157636A19</t>
  </si>
  <si>
    <t>14X576237001A3A</t>
  </si>
  <si>
    <t>14X576237010A3A</t>
  </si>
  <si>
    <t>14X576222004A16</t>
  </si>
  <si>
    <t>84940M78T01-5PK</t>
  </si>
  <si>
    <t>14X576222012A16</t>
  </si>
  <si>
    <t>84940M78U00-5PK</t>
  </si>
  <si>
    <t>14X576222020A16</t>
  </si>
  <si>
    <t>14X576222039A16</t>
  </si>
  <si>
    <t>84940M78U00-BHE</t>
  </si>
  <si>
    <t>14X576222047A16</t>
  </si>
  <si>
    <t>14X576235700A1M</t>
  </si>
  <si>
    <t>84950M80T10</t>
  </si>
  <si>
    <t>BUCKLE ASSY,RR(BLACK)</t>
  </si>
  <si>
    <t>A2-23</t>
  </si>
  <si>
    <t>14X576235718A1M</t>
  </si>
  <si>
    <t>14X576235726A1M</t>
  </si>
  <si>
    <t>84960M80T01-5PK</t>
  </si>
  <si>
    <t>TONGUE ASSY,RR</t>
  </si>
  <si>
    <t>A2-33</t>
  </si>
  <si>
    <t>14X576235734A1M</t>
  </si>
  <si>
    <t>84960M80T21-5PK</t>
  </si>
  <si>
    <t>14X576235742A1M</t>
  </si>
  <si>
    <t>PRT Number</t>
  </si>
  <si>
    <t>HCIL Location</t>
  </si>
  <si>
    <t>PRT Type</t>
  </si>
  <si>
    <t>Part Number</t>
  </si>
  <si>
    <t>Part Color</t>
  </si>
  <si>
    <t>Part Name</t>
  </si>
  <si>
    <t>Quantity</t>
  </si>
  <si>
    <t>Ship To</t>
  </si>
  <si>
    <t>Inventory Category</t>
  </si>
  <si>
    <t>Delivery Date &amp; Time</t>
  </si>
  <si>
    <t>252810001957-00</t>
  </si>
  <si>
    <t>TAPUKARA</t>
  </si>
  <si>
    <t>Normal</t>
  </si>
  <si>
    <t>7785031X T812M1</t>
  </si>
  <si>
    <t>NC</t>
  </si>
  <si>
    <t>MODULE ASSY,AS</t>
  </si>
  <si>
    <t>D2024</t>
  </si>
  <si>
    <t>MPAF21</t>
  </si>
  <si>
    <t>14-10-2025 06:00</t>
  </si>
  <si>
    <t>252810002148-00</t>
  </si>
  <si>
    <t>81493TY0 0031</t>
  </si>
  <si>
    <t>NH900L</t>
  </si>
  <si>
    <t>COVER,THROUGH ANCHOR</t>
  </si>
  <si>
    <t>252810002258-00</t>
  </si>
  <si>
    <t>8245532N D012M1</t>
  </si>
  <si>
    <t>BELT ASSY INN R,RR SEAT</t>
  </si>
  <si>
    <t>252810002303-00</t>
  </si>
  <si>
    <t>8285532N D012M1</t>
  </si>
  <si>
    <t>BELT ASSY INN L,RR SEAT</t>
  </si>
  <si>
    <t>252810002320-00</t>
  </si>
  <si>
    <t>90142TG2 D711M1</t>
  </si>
  <si>
    <t>BOLT 7/16"X24</t>
  </si>
  <si>
    <t>252810001890-00</t>
  </si>
  <si>
    <t>81455TZB G113M1</t>
  </si>
  <si>
    <t>BELT ASSY INN R, FR SEAT</t>
  </si>
  <si>
    <t>D02021</t>
  </si>
  <si>
    <t>MPKD09</t>
  </si>
  <si>
    <t>14-10-2025 09:00</t>
  </si>
  <si>
    <t>252810001898-00</t>
  </si>
  <si>
    <t>252810001906-00</t>
  </si>
  <si>
    <t>8185539K M012M1</t>
  </si>
  <si>
    <t>BELT ASSY INN L, FR SEAT</t>
  </si>
  <si>
    <t>252810001914-00</t>
  </si>
  <si>
    <t>250010016555-00</t>
  </si>
  <si>
    <t>EPO</t>
  </si>
  <si>
    <t>8145039K M111M1</t>
  </si>
  <si>
    <t>NH900L1</t>
  </si>
  <si>
    <t>BELT ASSY OUT R,FR SEAT</t>
  </si>
  <si>
    <t>14-10-2025 11:02</t>
  </si>
  <si>
    <t>250010016554-00</t>
  </si>
  <si>
    <t>8185039K M111M1</t>
  </si>
  <si>
    <t>BELT ASSY OUT L,FR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</si>
</sst>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0000"/>
      <name val="Verdana"/>
      <family val="2"/>
    </font>
    <font>
      <b/>
      <sz val="11"/>
      <name val="Calibri"/>
      <family val="2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3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0033"/>
      </left>
      <right style="medium">
        <color rgb="FF990033"/>
      </right>
      <top style="medium">
        <color rgb="FF990033"/>
      </top>
      <bottom style="medium">
        <color rgb="FF990033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7F0FA"/>
        </patternFill>
      </fill>
    </dxf>
    <dxf>
      <fill>
        <patternFill>
          <bgColor rgb="FFCBDFF4"/>
        </patternFill>
      </fill>
    </dxf>
    <dxf>
      <font>
        <color theme="0"/>
      </font>
      <fill>
        <patternFill>
          <bgColor theme="5"/>
        </patternFill>
      </fill>
    </dxf>
    <dxf>
      <border>
        <vertical style="thin">
          <color theme="0"/>
        </vertical>
        <horizontal style="thin">
          <color theme="0"/>
        </horizontal>
      </border>
    </dxf>
  </dxfs>
  <tableStyles count="1" defaultTableStyle="Autoliv" defaultPivotStyle="PivotStyleLight16">
    <tableStyle name="Autoliv" pivot="0" count="4" xr9:uid="{00000000-0011-0000-FFFF-FFFF00000000}">
      <tableStyleElement type="wholeTable" dxfId="7"/>
      <tableStyleElement type="headerRow" dxfId="6"/>
      <tableStyleElement type="firstRowStripe" dxfId="5"/>
      <tableStyleElement type="secondRowStripe" dxfId="4"/>
    </tableStyle>
  </tableStyles>
  <colors>
    <mruColors>
      <color rgb="FFE7F0FA"/>
      <color rgb="FFCBD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BDCommon\LOGISTICS\01%20Dispatch\AAA%20ASSOCIATE%20WORKING\FANISH%20SHARMA\SALES%20ORDER%20NEW%20AUG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earch Conditions"/>
      <sheetName val="Info"/>
    </sheetNames>
    <sheetDataSet>
      <sheetData sheetId="0">
        <row r="1">
          <cell r="B1" t="str">
            <v>Customer Item</v>
          </cell>
          <cell r="C1" t="str">
            <v>Item Number</v>
          </cell>
        </row>
        <row r="2">
          <cell r="B2" t="str">
            <v>48150M69R20-C48</v>
          </cell>
          <cell r="C2" t="str">
            <v>642735000E</v>
          </cell>
        </row>
        <row r="3">
          <cell r="B3" t="str">
            <v>48150M69R00-C48</v>
          </cell>
          <cell r="C3" t="str">
            <v>642735100F</v>
          </cell>
        </row>
        <row r="4">
          <cell r="B4" t="str">
            <v>73910M62S00-5PK</v>
          </cell>
          <cell r="C4" t="str">
            <v>647431000E</v>
          </cell>
        </row>
        <row r="5">
          <cell r="B5" t="str">
            <v>73910M62S50-5PK</v>
          </cell>
          <cell r="C5" t="str">
            <v>647431001E</v>
          </cell>
        </row>
        <row r="6">
          <cell r="B6" t="str">
            <v>73910M81R00-5PK</v>
          </cell>
          <cell r="C6" t="str">
            <v>649091200E</v>
          </cell>
        </row>
        <row r="7">
          <cell r="B7" t="str">
            <v>73910M81R50-5PK</v>
          </cell>
          <cell r="C7" t="str">
            <v>649091201E</v>
          </cell>
        </row>
        <row r="8">
          <cell r="B8" t="str">
            <v>73910M79M00</v>
          </cell>
          <cell r="C8" t="str">
            <v>626218000A</v>
          </cell>
        </row>
        <row r="9">
          <cell r="B9" t="str">
            <v>73112M79M00</v>
          </cell>
          <cell r="C9" t="str">
            <v>627193600C</v>
          </cell>
        </row>
        <row r="10">
          <cell r="B10" t="str">
            <v>73112M79M10</v>
          </cell>
          <cell r="C10" t="str">
            <v>627193601C</v>
          </cell>
        </row>
        <row r="11">
          <cell r="B11" t="str">
            <v>48150M78SA0-C48</v>
          </cell>
          <cell r="C11" t="str">
            <v>647570300A</v>
          </cell>
        </row>
        <row r="12">
          <cell r="B12" t="str">
            <v>85350M68KA1-S1S</v>
          </cell>
          <cell r="C12" t="str">
            <v>616620900D</v>
          </cell>
        </row>
        <row r="13">
          <cell r="B13" t="str">
            <v>76480M55T00</v>
          </cell>
          <cell r="C13" t="str">
            <v>654774200C</v>
          </cell>
        </row>
        <row r="14">
          <cell r="B14" t="str">
            <v>76490M55T00</v>
          </cell>
          <cell r="C14" t="str">
            <v>655976400D</v>
          </cell>
        </row>
        <row r="15">
          <cell r="B15" t="str">
            <v>85350M55T00</v>
          </cell>
          <cell r="C15" t="str">
            <v>655257000C</v>
          </cell>
        </row>
        <row r="16">
          <cell r="B16" t="str">
            <v>85850M55T00</v>
          </cell>
          <cell r="C16" t="str">
            <v>655257100C</v>
          </cell>
        </row>
        <row r="17">
          <cell r="B17" t="str">
            <v>73112M66T00</v>
          </cell>
          <cell r="C17" t="str">
            <v>655421600A</v>
          </cell>
        </row>
        <row r="18">
          <cell r="B18" t="str">
            <v>73910M66T00</v>
          </cell>
          <cell r="C18" t="str">
            <v>655687000F</v>
          </cell>
        </row>
        <row r="19">
          <cell r="B19" t="str">
            <v>73910M79M01</v>
          </cell>
          <cell r="C19" t="str">
            <v>626218000B</v>
          </cell>
        </row>
        <row r="20">
          <cell r="B20" t="str">
            <v>48150M81RA0-5PK</v>
          </cell>
          <cell r="C20" t="str">
            <v>661296100A</v>
          </cell>
        </row>
        <row r="21">
          <cell r="B21" t="str">
            <v>76480M66T00</v>
          </cell>
          <cell r="C21" t="str">
            <v>656310200C</v>
          </cell>
        </row>
        <row r="22">
          <cell r="B22" t="str">
            <v>76490M66T00</v>
          </cell>
          <cell r="C22" t="str">
            <v>656310201C</v>
          </cell>
        </row>
        <row r="23">
          <cell r="B23" t="str">
            <v>73910M56R00</v>
          </cell>
          <cell r="C23" t="str">
            <v>643816300A</v>
          </cell>
        </row>
        <row r="24">
          <cell r="B24" t="str">
            <v>73112M79M10</v>
          </cell>
          <cell r="C24" t="str">
            <v>627193601C</v>
          </cell>
        </row>
        <row r="25">
          <cell r="B25" t="str">
            <v>73112M75T00</v>
          </cell>
          <cell r="C25" t="str">
            <v>659410400A</v>
          </cell>
        </row>
        <row r="26">
          <cell r="B26" t="str">
            <v>73112M75T50</v>
          </cell>
          <cell r="C26" t="str">
            <v>663078000A</v>
          </cell>
        </row>
        <row r="27">
          <cell r="B27" t="str">
            <v>73112M52R00</v>
          </cell>
          <cell r="C27" t="str">
            <v>635832700E</v>
          </cell>
        </row>
        <row r="28">
          <cell r="B28" t="str">
            <v>73910M75T00</v>
          </cell>
          <cell r="C28" t="str">
            <v>659409700D</v>
          </cell>
        </row>
        <row r="29">
          <cell r="B29" t="str">
            <v>84920M69R21-BHE</v>
          </cell>
          <cell r="C29" t="str">
            <v>641704800H</v>
          </cell>
        </row>
        <row r="30">
          <cell r="B30" t="str">
            <v>84940M69R11-BHE</v>
          </cell>
          <cell r="C30" t="str">
            <v>641704700E</v>
          </cell>
        </row>
        <row r="31">
          <cell r="B31" t="str">
            <v>84920M62S31-BHE</v>
          </cell>
          <cell r="C31" t="str">
            <v>647854600C</v>
          </cell>
        </row>
        <row r="32">
          <cell r="B32" t="str">
            <v>84940M62S31-BHE</v>
          </cell>
          <cell r="C32" t="str">
            <v>647854700C</v>
          </cell>
        </row>
        <row r="33">
          <cell r="B33" t="str">
            <v>84920M81R10-BHE</v>
          </cell>
          <cell r="C33" t="str">
            <v>648992700C</v>
          </cell>
        </row>
        <row r="34">
          <cell r="B34" t="str">
            <v>84920M72RC2-BHE</v>
          </cell>
          <cell r="C34" t="str">
            <v>640402602E</v>
          </cell>
        </row>
        <row r="35">
          <cell r="B35" t="str">
            <v>84940M72RA2-BHE</v>
          </cell>
          <cell r="C35" t="str">
            <v>640402502E</v>
          </cell>
        </row>
        <row r="36">
          <cell r="B36" t="str">
            <v>84920M72R22-V6N</v>
          </cell>
          <cell r="C36" t="str">
            <v>640402200E</v>
          </cell>
        </row>
        <row r="37">
          <cell r="B37" t="str">
            <v>84940M72R02-V6N</v>
          </cell>
          <cell r="C37" t="str">
            <v>640402100E</v>
          </cell>
        </row>
        <row r="38">
          <cell r="B38" t="str">
            <v>84920M72RC2-V6N</v>
          </cell>
          <cell r="C38" t="str">
            <v>640402600E</v>
          </cell>
        </row>
        <row r="39">
          <cell r="B39" t="str">
            <v>84940M72RA2-V6N</v>
          </cell>
          <cell r="C39" t="str">
            <v>640402500E</v>
          </cell>
        </row>
        <row r="40">
          <cell r="B40" t="str">
            <v>84940M81R10-BHE</v>
          </cell>
          <cell r="C40" t="str">
            <v>648995100C</v>
          </cell>
        </row>
        <row r="41">
          <cell r="B41" t="str">
            <v>84920M72R22-HLK</v>
          </cell>
          <cell r="C41" t="str">
            <v>640402201E</v>
          </cell>
        </row>
        <row r="42">
          <cell r="B42" t="str">
            <v>84940M72R02-HLK</v>
          </cell>
          <cell r="C42" t="str">
            <v>640402101E</v>
          </cell>
        </row>
        <row r="43">
          <cell r="B43" t="str">
            <v>84920M72RC2-HLK</v>
          </cell>
          <cell r="C43" t="str">
            <v>640402601E</v>
          </cell>
        </row>
        <row r="44">
          <cell r="B44" t="str">
            <v>84940M72RA2-HLK</v>
          </cell>
          <cell r="C44" t="str">
            <v>640402501E</v>
          </cell>
        </row>
        <row r="45">
          <cell r="B45" t="str">
            <v>84920M74L01-V6N</v>
          </cell>
          <cell r="C45" t="str">
            <v>620776580C</v>
          </cell>
        </row>
        <row r="46">
          <cell r="B46" t="str">
            <v>84940M74L01-V6N</v>
          </cell>
          <cell r="C46" t="str">
            <v>620776480C</v>
          </cell>
        </row>
        <row r="47">
          <cell r="B47" t="str">
            <v>84920M72RA2-HLK</v>
          </cell>
          <cell r="C47" t="str">
            <v>640655501E</v>
          </cell>
        </row>
        <row r="48">
          <cell r="B48" t="str">
            <v>84940M72RC2-HLK</v>
          </cell>
          <cell r="C48" t="str">
            <v>640655601E</v>
          </cell>
        </row>
        <row r="49">
          <cell r="B49" t="str">
            <v>84920M72R02-HLK</v>
          </cell>
          <cell r="C49" t="str">
            <v>640480001E</v>
          </cell>
        </row>
        <row r="50">
          <cell r="B50" t="str">
            <v>84940M72R22-HLK</v>
          </cell>
          <cell r="C50" t="str">
            <v>640480101E</v>
          </cell>
        </row>
        <row r="51">
          <cell r="B51" t="str">
            <v>84902M72R22-HLK</v>
          </cell>
          <cell r="C51" t="str">
            <v>643683701C</v>
          </cell>
        </row>
        <row r="52">
          <cell r="B52" t="str">
            <v>84902M56R61-HLK</v>
          </cell>
          <cell r="C52" t="str">
            <v>639837600B</v>
          </cell>
        </row>
        <row r="53">
          <cell r="B53" t="str">
            <v>84920M53M00-LA5</v>
          </cell>
          <cell r="C53" t="str">
            <v>623228902C</v>
          </cell>
        </row>
        <row r="54">
          <cell r="B54" t="str">
            <v>84901M83K70-ED3</v>
          </cell>
          <cell r="C54" t="str">
            <v>620003000CA</v>
          </cell>
        </row>
        <row r="55">
          <cell r="B55" t="str">
            <v>84902M75J01-B03</v>
          </cell>
          <cell r="C55" t="str">
            <v>619268396C</v>
          </cell>
        </row>
        <row r="56">
          <cell r="B56" t="str">
            <v>84901M78L01-P4Z</v>
          </cell>
          <cell r="C56" t="str">
            <v>641826200D</v>
          </cell>
        </row>
        <row r="57">
          <cell r="B57" t="str">
            <v>84901M78T10-5PK</v>
          </cell>
          <cell r="C57" t="str">
            <v>6200028K1D</v>
          </cell>
        </row>
        <row r="58">
          <cell r="B58" t="str">
            <v>84902M78T10-5PK</v>
          </cell>
          <cell r="C58" t="str">
            <v>6200029K1D</v>
          </cell>
        </row>
        <row r="59">
          <cell r="B59" t="str">
            <v>84920M56R12-V6N</v>
          </cell>
          <cell r="C59" t="str">
            <v>636618401E</v>
          </cell>
        </row>
        <row r="60">
          <cell r="B60" t="str">
            <v>84940M56R12-V6N</v>
          </cell>
          <cell r="C60" t="str">
            <v>636618501E</v>
          </cell>
        </row>
        <row r="61">
          <cell r="B61" t="str">
            <v>84902M83B11-P4Z</v>
          </cell>
          <cell r="C61" t="str">
            <v>618012000BA</v>
          </cell>
        </row>
        <row r="62">
          <cell r="B62" t="str">
            <v>76410M78L00-5PK</v>
          </cell>
          <cell r="C62" t="str">
            <v>622452200A</v>
          </cell>
        </row>
        <row r="63">
          <cell r="B63" t="str">
            <v>84920M75T00-QS9</v>
          </cell>
          <cell r="C63" t="str">
            <v>662939702D</v>
          </cell>
        </row>
        <row r="64">
          <cell r="B64" t="str">
            <v>84920M75T10-QS9</v>
          </cell>
          <cell r="C64" t="str">
            <v>664395201D</v>
          </cell>
        </row>
        <row r="65">
          <cell r="B65" t="str">
            <v>84940M75T00-QS9</v>
          </cell>
          <cell r="C65" t="str">
            <v>662939501E</v>
          </cell>
        </row>
        <row r="66">
          <cell r="B66" t="str">
            <v>84940M75T10-QS9</v>
          </cell>
          <cell r="C66" t="str">
            <v>664395001D</v>
          </cell>
        </row>
        <row r="67">
          <cell r="B67" t="str">
            <v>84920M62S32-BHE</v>
          </cell>
          <cell r="C67" t="str">
            <v>647854600D</v>
          </cell>
        </row>
        <row r="68">
          <cell r="B68" t="str">
            <v>84920M69R22-BHE</v>
          </cell>
          <cell r="C68" t="str">
            <v>641704800L</v>
          </cell>
        </row>
        <row r="69">
          <cell r="B69" t="str">
            <v>84940M69R12-BHE</v>
          </cell>
          <cell r="C69" t="str">
            <v>641704700G</v>
          </cell>
        </row>
        <row r="70">
          <cell r="B70" t="str">
            <v>84920M81R11-BHE</v>
          </cell>
          <cell r="C70" t="str">
            <v>648992700D</v>
          </cell>
        </row>
        <row r="71">
          <cell r="B71" t="str">
            <v>84940M81R11-BHE</v>
          </cell>
          <cell r="C71" t="str">
            <v>648995100D</v>
          </cell>
        </row>
        <row r="72">
          <cell r="B72" t="str">
            <v>84920M56R13-V6N</v>
          </cell>
          <cell r="C72" t="str">
            <v>636618401G</v>
          </cell>
        </row>
        <row r="73">
          <cell r="B73" t="str">
            <v>84940M56R13-V6N</v>
          </cell>
          <cell r="C73" t="str">
            <v>636618501G</v>
          </cell>
        </row>
        <row r="74">
          <cell r="B74" t="str">
            <v>84920M72R23-HLK</v>
          </cell>
          <cell r="C74" t="str">
            <v>640402201G</v>
          </cell>
        </row>
        <row r="75">
          <cell r="B75" t="str">
            <v>84940M62S32-BHE</v>
          </cell>
          <cell r="C75" t="str">
            <v>647854700D</v>
          </cell>
        </row>
        <row r="76">
          <cell r="B76" t="str">
            <v>84920M72R23-V6N</v>
          </cell>
          <cell r="C76" t="str">
            <v>640402200G</v>
          </cell>
        </row>
        <row r="77">
          <cell r="B77" t="str">
            <v>84920M72RA3-HLK</v>
          </cell>
          <cell r="C77" t="str">
            <v>640655501G</v>
          </cell>
        </row>
        <row r="78">
          <cell r="B78" t="str">
            <v>84920M72RC3-BHE</v>
          </cell>
          <cell r="C78" t="str">
            <v>640402602G</v>
          </cell>
        </row>
        <row r="79">
          <cell r="B79" t="str">
            <v>84920M72RC3-V6N</v>
          </cell>
          <cell r="C79" t="str">
            <v>640402600G</v>
          </cell>
        </row>
        <row r="80">
          <cell r="B80" t="str">
            <v>84940M72R03-V6N</v>
          </cell>
          <cell r="C80" t="str">
            <v>640402100G</v>
          </cell>
        </row>
        <row r="81">
          <cell r="B81" t="str">
            <v>84940M72RA3-BHE</v>
          </cell>
          <cell r="C81" t="str">
            <v>640402502G</v>
          </cell>
        </row>
        <row r="82">
          <cell r="B82" t="str">
            <v>84940M72RA3-HLK</v>
          </cell>
          <cell r="C82" t="str">
            <v>640402501G</v>
          </cell>
        </row>
        <row r="83">
          <cell r="B83" t="str">
            <v>84940M72RA3-V6N</v>
          </cell>
          <cell r="C83" t="str">
            <v>640402500G</v>
          </cell>
        </row>
        <row r="84">
          <cell r="B84" t="str">
            <v>84940M72RC3-HLK</v>
          </cell>
          <cell r="C84" t="str">
            <v>640655601G</v>
          </cell>
        </row>
        <row r="85">
          <cell r="B85" t="str">
            <v>84940M72R03-HLK</v>
          </cell>
          <cell r="C85" t="str">
            <v>640402101G</v>
          </cell>
        </row>
        <row r="86">
          <cell r="B86" t="str">
            <v>84920M72RC3-HLK</v>
          </cell>
          <cell r="C86" t="str">
            <v>640402601G</v>
          </cell>
        </row>
        <row r="87">
          <cell r="B87" t="str">
            <v>84940M72R23-HLK</v>
          </cell>
          <cell r="C87" t="str">
            <v>640480101G</v>
          </cell>
        </row>
        <row r="88">
          <cell r="B88" t="str">
            <v>84920M72R03-HLK</v>
          </cell>
          <cell r="C88" t="str">
            <v>640480001G</v>
          </cell>
        </row>
        <row r="89">
          <cell r="B89" t="str">
            <v>84920M75T01-QS9</v>
          </cell>
          <cell r="C89" t="str">
            <v>662939702E</v>
          </cell>
        </row>
        <row r="90">
          <cell r="B90" t="str">
            <v>84920M81R12-BHE</v>
          </cell>
          <cell r="C90" t="str">
            <v>648992700E</v>
          </cell>
        </row>
        <row r="91">
          <cell r="B91" t="str">
            <v>84940M69R13-BHE</v>
          </cell>
          <cell r="C91" t="str">
            <v>641704700H</v>
          </cell>
        </row>
        <row r="92">
          <cell r="B92" t="str">
            <v>84920M62S33-BHE</v>
          </cell>
          <cell r="C92" t="str">
            <v>647854600E</v>
          </cell>
        </row>
        <row r="93">
          <cell r="B93" t="str">
            <v>84920M69R23-BHE</v>
          </cell>
          <cell r="C93" t="str">
            <v>641704800M</v>
          </cell>
        </row>
        <row r="94">
          <cell r="B94" t="str">
            <v>84920M72RC4-HLK</v>
          </cell>
          <cell r="C94" t="str">
            <v>640402601H</v>
          </cell>
        </row>
        <row r="95">
          <cell r="B95" t="str">
            <v>84920M72RC4-V6N</v>
          </cell>
          <cell r="C95" t="str">
            <v>640402600H</v>
          </cell>
        </row>
        <row r="96">
          <cell r="B96" t="str">
            <v>84920M72RA4-HLK</v>
          </cell>
          <cell r="C96" t="str">
            <v>640655501H</v>
          </cell>
        </row>
        <row r="97">
          <cell r="B97" t="str">
            <v>84920M72R04-HLK</v>
          </cell>
          <cell r="C97" t="str">
            <v>640480001H</v>
          </cell>
        </row>
        <row r="98">
          <cell r="B98" t="str">
            <v>84920M72R24-HLK</v>
          </cell>
          <cell r="C98" t="str">
            <v>640402201H</v>
          </cell>
        </row>
        <row r="99">
          <cell r="B99" t="str">
            <v>84940M72R04-V6N</v>
          </cell>
          <cell r="C99" t="str">
            <v>640402100H</v>
          </cell>
        </row>
        <row r="100">
          <cell r="B100" t="str">
            <v>84940M72R24-HLK</v>
          </cell>
          <cell r="C100" t="str">
            <v>640480101H</v>
          </cell>
        </row>
        <row r="101">
          <cell r="B101" t="str">
            <v>84940M75T11-QS9</v>
          </cell>
          <cell r="C101" t="str">
            <v>664395001E</v>
          </cell>
        </row>
        <row r="102">
          <cell r="B102" t="str">
            <v>84920M72R24-V6N</v>
          </cell>
          <cell r="C102" t="str">
            <v>640402200H</v>
          </cell>
        </row>
        <row r="103">
          <cell r="B103" t="str">
            <v>84920M72RC4-BHE</v>
          </cell>
          <cell r="C103" t="str">
            <v>640402602H</v>
          </cell>
        </row>
        <row r="104">
          <cell r="B104" t="str">
            <v>84940M72RA4-BHE</v>
          </cell>
          <cell r="C104" t="str">
            <v>640402502H</v>
          </cell>
        </row>
        <row r="105">
          <cell r="B105" t="str">
            <v>84940M72RA4-HLK</v>
          </cell>
          <cell r="C105" t="str">
            <v>640402501H</v>
          </cell>
        </row>
        <row r="106">
          <cell r="B106" t="str">
            <v>84940M72RA4-V6N</v>
          </cell>
          <cell r="C106" t="str">
            <v>640402500H</v>
          </cell>
        </row>
        <row r="107">
          <cell r="B107" t="str">
            <v>84940M72RC4-HLK</v>
          </cell>
          <cell r="C107" t="str">
            <v>640655601H</v>
          </cell>
        </row>
        <row r="108">
          <cell r="B108" t="str">
            <v>84940M62S33-BHE</v>
          </cell>
          <cell r="C108" t="str">
            <v>647854700E</v>
          </cell>
        </row>
        <row r="109">
          <cell r="B109" t="str">
            <v>84940M81R12-BHE</v>
          </cell>
          <cell r="C109" t="str">
            <v>648995100E</v>
          </cell>
        </row>
        <row r="110">
          <cell r="B110" t="str">
            <v>84940M72R04-HLK</v>
          </cell>
          <cell r="C110" t="str">
            <v>640402101H</v>
          </cell>
        </row>
        <row r="111">
          <cell r="B111" t="str">
            <v>48110M69R00-5PK</v>
          </cell>
          <cell r="C111" t="str">
            <v>642629200F</v>
          </cell>
        </row>
        <row r="112">
          <cell r="B112" t="str">
            <v>48110M69R10-GJL</v>
          </cell>
          <cell r="C112" t="str">
            <v>642629300F</v>
          </cell>
        </row>
        <row r="113">
          <cell r="B113" t="str">
            <v>48110M69R70-GJL</v>
          </cell>
          <cell r="C113" t="str">
            <v>642629400F</v>
          </cell>
        </row>
        <row r="114">
          <cell r="B114" t="str">
            <v>48110M69R60-GJL</v>
          </cell>
          <cell r="C114" t="str">
            <v>648425300B</v>
          </cell>
        </row>
        <row r="115">
          <cell r="B115" t="str">
            <v>48110M62S30-5PK</v>
          </cell>
          <cell r="C115" t="str">
            <v>651462200A</v>
          </cell>
        </row>
        <row r="116">
          <cell r="B116" t="str">
            <v>48110M69R20-GJL</v>
          </cell>
          <cell r="C116" t="str">
            <v>653691500A</v>
          </cell>
        </row>
        <row r="117">
          <cell r="B117" t="str">
            <v>48120M74L00-GMN</v>
          </cell>
          <cell r="C117" t="str">
            <v>6205250v6a</v>
          </cell>
        </row>
        <row r="118">
          <cell r="B118" t="str">
            <v>48110M67P00-P4Z</v>
          </cell>
          <cell r="C118" t="str">
            <v>628790300D</v>
          </cell>
        </row>
        <row r="119">
          <cell r="B119" t="str">
            <v>48110M68P90-C48</v>
          </cell>
          <cell r="C119" t="str">
            <v>648246000A</v>
          </cell>
        </row>
        <row r="120">
          <cell r="B120" t="str">
            <v>48110M69R60-GJL</v>
          </cell>
          <cell r="C120" t="str">
            <v>648425300B</v>
          </cell>
        </row>
        <row r="121">
          <cell r="B121" t="str">
            <v>48110M62S30-5PK</v>
          </cell>
          <cell r="C121" t="str">
            <v>651462200A</v>
          </cell>
        </row>
        <row r="122">
          <cell r="B122" t="str">
            <v>48110M69R00-5PK</v>
          </cell>
          <cell r="C122" t="str">
            <v>642629200F</v>
          </cell>
        </row>
        <row r="123">
          <cell r="B123" t="str">
            <v>48110M69R10-GJL</v>
          </cell>
          <cell r="C123" t="str">
            <v>642629300F</v>
          </cell>
        </row>
        <row r="124">
          <cell r="B124" t="str">
            <v>48110M69R70-GJL</v>
          </cell>
          <cell r="C124" t="str">
            <v>642629400F</v>
          </cell>
        </row>
        <row r="125">
          <cell r="B125" t="str">
            <v>48110M74L01-5PK</v>
          </cell>
          <cell r="C125" t="str">
            <v>6205208PKB</v>
          </cell>
        </row>
        <row r="126">
          <cell r="B126" t="str">
            <v>48120M74L00-GMN</v>
          </cell>
          <cell r="C126" t="str">
            <v>6205250v6a</v>
          </cell>
        </row>
        <row r="127">
          <cell r="B127" t="str">
            <v>48110M68PL0-C48</v>
          </cell>
          <cell r="C127" t="str">
            <v>632470800D</v>
          </cell>
        </row>
        <row r="128">
          <cell r="B128" t="str">
            <v>48120M74L00-C48</v>
          </cell>
          <cell r="C128" t="str">
            <v>620525000A</v>
          </cell>
        </row>
        <row r="129">
          <cell r="B129" t="str">
            <v>48110M68P01-C48</v>
          </cell>
          <cell r="C129" t="str">
            <v>630011500E</v>
          </cell>
        </row>
        <row r="130">
          <cell r="B130" t="str">
            <v>48110M68P21-C48</v>
          </cell>
          <cell r="C130" t="str">
            <v>630011800E</v>
          </cell>
        </row>
        <row r="131">
          <cell r="B131" t="str">
            <v>48110M68PB0-C48</v>
          </cell>
          <cell r="C131" t="str">
            <v>630011400D</v>
          </cell>
        </row>
        <row r="132">
          <cell r="B132" t="str">
            <v>48110M68PH0-C48</v>
          </cell>
          <cell r="C132" t="str">
            <v>632470400D</v>
          </cell>
        </row>
        <row r="133">
          <cell r="B133" t="str">
            <v>48110M68PK0-C48</v>
          </cell>
          <cell r="C133" t="str">
            <v>630012400D</v>
          </cell>
        </row>
        <row r="134">
          <cell r="B134" t="str">
            <v>48110M68PN0-C48</v>
          </cell>
          <cell r="C134" t="str">
            <v>632471200D</v>
          </cell>
        </row>
        <row r="135">
          <cell r="B135" t="str">
            <v>48110M68PN0-C48</v>
          </cell>
          <cell r="C135" t="str">
            <v>632471200D</v>
          </cell>
        </row>
        <row r="136">
          <cell r="B136" t="str">
            <v>48110M68PR0-C48</v>
          </cell>
          <cell r="C136" t="str">
            <v>630011900D</v>
          </cell>
        </row>
        <row r="137">
          <cell r="B137" t="str">
            <v>48110M74L01-V6N</v>
          </cell>
          <cell r="C137" t="str">
            <v>6205208V6BDS</v>
          </cell>
        </row>
        <row r="138">
          <cell r="B138" t="str">
            <v>48110M76M11-5PK</v>
          </cell>
          <cell r="C138" t="str">
            <v>630732200B</v>
          </cell>
        </row>
        <row r="139">
          <cell r="B139" t="str">
            <v>48110M76M31-GJL</v>
          </cell>
          <cell r="C139" t="str">
            <v>625764200G</v>
          </cell>
        </row>
        <row r="140">
          <cell r="B140" t="str">
            <v>48110M53M10-5PK</v>
          </cell>
          <cell r="C140" t="str">
            <v>646826700B</v>
          </cell>
        </row>
        <row r="141">
          <cell r="B141" t="str">
            <v>48110M68PH1-C48</v>
          </cell>
          <cell r="C141" t="str">
            <v>632470400E</v>
          </cell>
        </row>
        <row r="142">
          <cell r="B142" t="str">
            <v>48110M68K01-P4Z</v>
          </cell>
          <cell r="C142" t="str">
            <v>616447300C</v>
          </cell>
        </row>
        <row r="143">
          <cell r="B143" t="str">
            <v>48110M74LL1-GJL</v>
          </cell>
          <cell r="C143" t="str">
            <v>6205208ZMB</v>
          </cell>
        </row>
        <row r="144">
          <cell r="B144" t="str">
            <v>48110M68PQ0-C48</v>
          </cell>
          <cell r="C144" t="str">
            <v>632471500D</v>
          </cell>
        </row>
        <row r="145">
          <cell r="B145" t="str">
            <v>48110M69R20-GJL</v>
          </cell>
          <cell r="C145" t="str">
            <v>653691500A</v>
          </cell>
        </row>
        <row r="146">
          <cell r="B146" t="str">
            <v>48110M68PS0-C48</v>
          </cell>
          <cell r="C146" t="str">
            <v>634165700D</v>
          </cell>
        </row>
        <row r="147">
          <cell r="B147" t="str">
            <v>48110M67P00-5PK</v>
          </cell>
          <cell r="C147" t="str">
            <v>6287903P0D</v>
          </cell>
        </row>
        <row r="148">
          <cell r="B148" t="str">
            <v>48110M68P11-C48</v>
          </cell>
          <cell r="C148" t="str">
            <v>630011600E</v>
          </cell>
        </row>
        <row r="149">
          <cell r="B149" t="str">
            <v>48110M68P41-C48</v>
          </cell>
          <cell r="C149" t="str">
            <v>633798100E</v>
          </cell>
        </row>
        <row r="150">
          <cell r="B150" t="str">
            <v>48110M68P50-C48</v>
          </cell>
          <cell r="C150" t="str">
            <v>634616600E</v>
          </cell>
        </row>
        <row r="151">
          <cell r="B151" t="str">
            <v>48110M68P61-C48</v>
          </cell>
          <cell r="C151" t="str">
            <v>634616700E</v>
          </cell>
        </row>
        <row r="152">
          <cell r="B152" t="str">
            <v>48110M68P71-C48</v>
          </cell>
          <cell r="C152" t="str">
            <v>635893900D</v>
          </cell>
        </row>
        <row r="153">
          <cell r="B153" t="str">
            <v>48110M68P80-C48</v>
          </cell>
          <cell r="C153" t="str">
            <v>635894000C</v>
          </cell>
        </row>
        <row r="154">
          <cell r="B154" t="str">
            <v>48110M68PA0-C48</v>
          </cell>
          <cell r="C154" t="str">
            <v>632463000D</v>
          </cell>
        </row>
        <row r="155">
          <cell r="B155" t="str">
            <v>48110M68PC0-C48</v>
          </cell>
          <cell r="C155" t="str">
            <v>630012100D</v>
          </cell>
        </row>
        <row r="156">
          <cell r="B156" t="str">
            <v>48110M68PP0-C48</v>
          </cell>
          <cell r="C156" t="str">
            <v>632471400D</v>
          </cell>
        </row>
        <row r="157">
          <cell r="B157" t="str">
            <v>48110M69PA0-C48</v>
          </cell>
          <cell r="C157" t="str">
            <v>636103200B</v>
          </cell>
        </row>
        <row r="158">
          <cell r="B158" t="str">
            <v>48110M69PC0-C48</v>
          </cell>
          <cell r="C158" t="str">
            <v>636103600B</v>
          </cell>
        </row>
        <row r="159">
          <cell r="B159" t="str">
            <v>48110M76M21-5PK</v>
          </cell>
          <cell r="C159" t="str">
            <v>634964100B</v>
          </cell>
        </row>
        <row r="160">
          <cell r="B160" t="str">
            <v>48110M68PD0-C48</v>
          </cell>
          <cell r="C160" t="str">
            <v>632463100D</v>
          </cell>
        </row>
        <row r="161">
          <cell r="B161" t="str">
            <v>48110M68PE0-C48</v>
          </cell>
          <cell r="C161" t="str">
            <v>632463200D</v>
          </cell>
        </row>
        <row r="162">
          <cell r="B162" t="str">
            <v>48110M68PF0-C48</v>
          </cell>
          <cell r="C162" t="str">
            <v>632470000D</v>
          </cell>
        </row>
        <row r="163">
          <cell r="B163" t="str">
            <v>48110M68PG0-C48</v>
          </cell>
          <cell r="C163" t="str">
            <v>632470200D</v>
          </cell>
        </row>
        <row r="164">
          <cell r="B164" t="str">
            <v>48110M68PM0-C48</v>
          </cell>
          <cell r="C164" t="str">
            <v>632471000D</v>
          </cell>
        </row>
        <row r="165">
          <cell r="B165" t="str">
            <v>48110M68PJ1-C48</v>
          </cell>
          <cell r="C165" t="str">
            <v>632470600E</v>
          </cell>
        </row>
        <row r="166">
          <cell r="B166" t="str">
            <v>48110M74LK1-GJL</v>
          </cell>
          <cell r="C166" t="str">
            <v>6212972ZMB</v>
          </cell>
        </row>
        <row r="167">
          <cell r="B167" t="str">
            <v>48110M74LN1-5PK</v>
          </cell>
          <cell r="C167" t="str">
            <v>6212972PKB</v>
          </cell>
        </row>
        <row r="168">
          <cell r="B168" t="str">
            <v>48120M77MA0-GMN</v>
          </cell>
          <cell r="C168" t="str">
            <v>625601200A</v>
          </cell>
        </row>
        <row r="169">
          <cell r="B169" t="str">
            <v>48110M69R20-GJL</v>
          </cell>
          <cell r="C169" t="str">
            <v>653691500A</v>
          </cell>
        </row>
        <row r="170">
          <cell r="B170" t="str">
            <v>48110M74L01-V6N</v>
          </cell>
          <cell r="C170" t="str">
            <v>6205208V6BDS</v>
          </cell>
        </row>
        <row r="171">
          <cell r="B171" t="str">
            <v>48110M74LL1-GJL</v>
          </cell>
          <cell r="C171" t="str">
            <v>6205208ZMB</v>
          </cell>
        </row>
        <row r="172">
          <cell r="B172" t="str">
            <v>48150M71M00-ART</v>
          </cell>
          <cell r="C172" t="str">
            <v>616903301A</v>
          </cell>
        </row>
        <row r="173">
          <cell r="B173" t="str">
            <v>73910M67P30-P4Z</v>
          </cell>
          <cell r="C173" t="str">
            <v>633922200F</v>
          </cell>
        </row>
        <row r="174">
          <cell r="B174" t="str">
            <v>73910M68K00-P4Z</v>
          </cell>
          <cell r="C174" t="str">
            <v>610143600E</v>
          </cell>
        </row>
        <row r="175">
          <cell r="B175" t="str">
            <v>73910M68P00</v>
          </cell>
          <cell r="C175" t="str">
            <v>629939000C</v>
          </cell>
        </row>
        <row r="176">
          <cell r="B176" t="str">
            <v>84901M53M51-5PK</v>
          </cell>
          <cell r="C176" t="str">
            <v>644854100CA</v>
          </cell>
        </row>
        <row r="177">
          <cell r="B177" t="str">
            <v>84901M62S41-BHE</v>
          </cell>
          <cell r="C177" t="str">
            <v>652148000C</v>
          </cell>
        </row>
        <row r="178">
          <cell r="B178" t="str">
            <v>84902M56R62-V6N</v>
          </cell>
          <cell r="C178" t="str">
            <v>639837601D</v>
          </cell>
        </row>
        <row r="179">
          <cell r="B179" t="str">
            <v>84902M62S41-BHE</v>
          </cell>
          <cell r="C179" t="str">
            <v>652148300C</v>
          </cell>
        </row>
        <row r="180">
          <cell r="B180" t="str">
            <v>84902M66R42-BHE</v>
          </cell>
          <cell r="C180" t="str">
            <v>633615100C</v>
          </cell>
        </row>
        <row r="181">
          <cell r="B181" t="str">
            <v>84920M74L01-BHE</v>
          </cell>
          <cell r="C181" t="str">
            <v>620776501C</v>
          </cell>
        </row>
        <row r="182">
          <cell r="B182" t="str">
            <v>85350M68PA1</v>
          </cell>
          <cell r="C182" t="str">
            <v>629663600E</v>
          </cell>
        </row>
        <row r="183">
          <cell r="B183" t="str">
            <v>85850M68PA1</v>
          </cell>
          <cell r="C183" t="str">
            <v>629663601E</v>
          </cell>
        </row>
        <row r="184">
          <cell r="B184" t="str">
            <v>48150M53M20-HTV</v>
          </cell>
          <cell r="C184" t="str">
            <v>646826801B</v>
          </cell>
        </row>
        <row r="185">
          <cell r="B185" t="str">
            <v>48150M76M01-C48</v>
          </cell>
          <cell r="C185" t="str">
            <v>625830903D</v>
          </cell>
        </row>
        <row r="186">
          <cell r="B186" t="str">
            <v>48150M76M11-C48</v>
          </cell>
          <cell r="C186" t="str">
            <v>625152103E</v>
          </cell>
        </row>
        <row r="187">
          <cell r="B187" t="str">
            <v>48150M78SA0-C48</v>
          </cell>
          <cell r="C187" t="str">
            <v>647570300A</v>
          </cell>
        </row>
        <row r="188">
          <cell r="B188" t="str">
            <v>73910M68P00</v>
          </cell>
          <cell r="C188" t="str">
            <v>629939000C</v>
          </cell>
        </row>
        <row r="189">
          <cell r="B189" t="str">
            <v>85350M68KA1-S1S</v>
          </cell>
          <cell r="C189" t="str">
            <v>616620900D</v>
          </cell>
        </row>
        <row r="190">
          <cell r="B190" t="str">
            <v>73910M82P10-5PK</v>
          </cell>
          <cell r="C190" t="str">
            <v>633830901F</v>
          </cell>
        </row>
        <row r="191">
          <cell r="B191" t="str">
            <v>48150M53M10-C48</v>
          </cell>
          <cell r="C191" t="str">
            <v>646826800B</v>
          </cell>
        </row>
        <row r="192">
          <cell r="B192" t="str">
            <v>48150M53M20-HTV</v>
          </cell>
          <cell r="C192" t="str">
            <v>646826801B</v>
          </cell>
        </row>
        <row r="193">
          <cell r="B193" t="str">
            <v>48150M76M01-C48</v>
          </cell>
          <cell r="C193" t="str">
            <v>625830903D</v>
          </cell>
        </row>
        <row r="194">
          <cell r="B194" t="str">
            <v>48150M76M11-C48</v>
          </cell>
          <cell r="C194" t="str">
            <v>625152103E</v>
          </cell>
        </row>
        <row r="195">
          <cell r="B195" t="str">
            <v>73910M67P20-5PK</v>
          </cell>
          <cell r="C195" t="str">
            <v>646432500A</v>
          </cell>
        </row>
        <row r="196">
          <cell r="B196" t="str">
            <v>73910M67P30-5PK</v>
          </cell>
          <cell r="C196" t="str">
            <v>633922201F</v>
          </cell>
        </row>
        <row r="197">
          <cell r="B197" t="str">
            <v>73910M81R50-5PK</v>
          </cell>
          <cell r="C197" t="str">
            <v>649091201E</v>
          </cell>
        </row>
        <row r="198">
          <cell r="B198" t="str">
            <v>85350M68PA1</v>
          </cell>
          <cell r="C198" t="str">
            <v>629663600E</v>
          </cell>
        </row>
        <row r="199">
          <cell r="B199" t="str">
            <v>85850M68PA1</v>
          </cell>
          <cell r="C199" t="str">
            <v>629663601E</v>
          </cell>
        </row>
        <row r="200">
          <cell r="B200" t="str">
            <v>48150M67P10-BDB</v>
          </cell>
          <cell r="C200" t="str">
            <v>628767301B</v>
          </cell>
        </row>
        <row r="201">
          <cell r="B201" t="str">
            <v>48150M68P00-C48</v>
          </cell>
          <cell r="C201" t="str">
            <v>630470500F</v>
          </cell>
        </row>
        <row r="202">
          <cell r="B202" t="str">
            <v>73910M79M00</v>
          </cell>
          <cell r="C202" t="str">
            <v>626218000A</v>
          </cell>
        </row>
        <row r="203">
          <cell r="B203" t="str">
            <v>73910M82P10-QBQ</v>
          </cell>
          <cell r="C203" t="str">
            <v>633830900F</v>
          </cell>
        </row>
        <row r="204">
          <cell r="B204" t="str">
            <v>48150M69R00-C48</v>
          </cell>
          <cell r="C204" t="str">
            <v>642735100F</v>
          </cell>
        </row>
        <row r="205">
          <cell r="B205" t="str">
            <v>48150M69R20-C48</v>
          </cell>
          <cell r="C205" t="str">
            <v>642735000E</v>
          </cell>
        </row>
        <row r="206">
          <cell r="B206" t="str">
            <v>73910M62S00-5PK</v>
          </cell>
          <cell r="C206" t="str">
            <v>647431000E</v>
          </cell>
        </row>
        <row r="207">
          <cell r="B207" t="str">
            <v>73910M62S50-5PK</v>
          </cell>
          <cell r="C207" t="str">
            <v>647431001E</v>
          </cell>
        </row>
        <row r="208">
          <cell r="B208" t="str">
            <v>73910M66R00-5PK</v>
          </cell>
          <cell r="C208" t="str">
            <v>635886200E</v>
          </cell>
        </row>
        <row r="209">
          <cell r="B209" t="str">
            <v>73910M67P30-P4Z</v>
          </cell>
          <cell r="C209" t="str">
            <v>633922200F</v>
          </cell>
        </row>
        <row r="210">
          <cell r="B210" t="str">
            <v>85350M68PA0</v>
          </cell>
          <cell r="C210" t="str">
            <v>629663600C</v>
          </cell>
        </row>
        <row r="211">
          <cell r="B211" t="str">
            <v>85850M68PA0</v>
          </cell>
          <cell r="C211" t="str">
            <v>629663601C</v>
          </cell>
        </row>
        <row r="212">
          <cell r="B212" t="str">
            <v>48150M67P00-FC6</v>
          </cell>
          <cell r="C212" t="str">
            <v>628767300B</v>
          </cell>
        </row>
        <row r="213">
          <cell r="B213" t="str">
            <v>48150M68P10-C48</v>
          </cell>
          <cell r="C213" t="str">
            <v>630470700E</v>
          </cell>
        </row>
        <row r="214">
          <cell r="B214" t="str">
            <v>48150M68P30-C48</v>
          </cell>
          <cell r="C214" t="str">
            <v>633243501C</v>
          </cell>
        </row>
        <row r="215">
          <cell r="B215" t="str">
            <v>73910M56R00</v>
          </cell>
          <cell r="C215" t="str">
            <v>643816300A</v>
          </cell>
        </row>
        <row r="216">
          <cell r="B216" t="str">
            <v>73910M68P00</v>
          </cell>
          <cell r="C216" t="str">
            <v>629939000C</v>
          </cell>
        </row>
        <row r="217">
          <cell r="B217" t="str">
            <v>76480M68P10</v>
          </cell>
          <cell r="C217" t="str">
            <v>628813900E</v>
          </cell>
        </row>
        <row r="218">
          <cell r="B218" t="str">
            <v>76490M68P10</v>
          </cell>
          <cell r="C218" t="str">
            <v>628813901E</v>
          </cell>
        </row>
        <row r="219">
          <cell r="B219" t="str">
            <v>73910M68K10-P4Z</v>
          </cell>
          <cell r="C219" t="str">
            <v>610143601E</v>
          </cell>
        </row>
        <row r="220">
          <cell r="B220" t="str">
            <v>48150M68K80-AKM</v>
          </cell>
          <cell r="C220" t="str">
            <v>616904500A</v>
          </cell>
        </row>
        <row r="221">
          <cell r="B221" t="str">
            <v>48150M71M00-ART</v>
          </cell>
          <cell r="C221" t="str">
            <v>616903301A</v>
          </cell>
        </row>
        <row r="222">
          <cell r="B222" t="str">
            <v>73910M68K00-P4Z</v>
          </cell>
          <cell r="C222" t="str">
            <v>610143600E</v>
          </cell>
        </row>
        <row r="223">
          <cell r="B223" t="str">
            <v>85350M68KA1-S1S</v>
          </cell>
          <cell r="C223" t="str">
            <v>616620900D</v>
          </cell>
        </row>
        <row r="224">
          <cell r="B224" t="str">
            <v>85850M68KA1-S1S</v>
          </cell>
          <cell r="C224" t="str">
            <v>616620901D</v>
          </cell>
        </row>
        <row r="225">
          <cell r="B225" t="str">
            <v>73910M66T00</v>
          </cell>
          <cell r="C225" t="str">
            <v>655687000F</v>
          </cell>
        </row>
        <row r="226">
          <cell r="B226" t="str">
            <v>73910M79M01</v>
          </cell>
          <cell r="C226" t="str">
            <v>626218000B</v>
          </cell>
        </row>
        <row r="227">
          <cell r="B227" t="str">
            <v>73910M68P01</v>
          </cell>
          <cell r="C227" t="str">
            <v>629939000E</v>
          </cell>
        </row>
        <row r="228">
          <cell r="B228" t="str">
            <v>76490M68P11</v>
          </cell>
          <cell r="C228" t="str">
            <v>628813901F</v>
          </cell>
        </row>
        <row r="229">
          <cell r="B229" t="str">
            <v>76480M68P11</v>
          </cell>
          <cell r="C229" t="str">
            <v>628813900F</v>
          </cell>
        </row>
        <row r="230">
          <cell r="B230" t="str">
            <v>73910M78T00-5PK</v>
          </cell>
          <cell r="C230" t="str">
            <v>656268300F</v>
          </cell>
        </row>
        <row r="231">
          <cell r="B231" t="str">
            <v>48150M81RA0-5PK</v>
          </cell>
          <cell r="C231" t="str">
            <v>661296100A</v>
          </cell>
        </row>
        <row r="232">
          <cell r="B232" t="str">
            <v>73910M80T50-5PK</v>
          </cell>
          <cell r="C232" t="str">
            <v>657937101E</v>
          </cell>
        </row>
        <row r="233">
          <cell r="B233" t="str">
            <v>85350M55T00</v>
          </cell>
          <cell r="C233" t="str">
            <v>655257000C</v>
          </cell>
        </row>
        <row r="234">
          <cell r="B234" t="str">
            <v>73910M80T00-5PK</v>
          </cell>
          <cell r="C234" t="str">
            <v>657937100E</v>
          </cell>
        </row>
        <row r="235">
          <cell r="B235" t="str">
            <v>73910M75T00</v>
          </cell>
          <cell r="C235" t="str">
            <v>659409700D</v>
          </cell>
        </row>
        <row r="236">
          <cell r="B236" t="str">
            <v>84901M56R32-BHE</v>
          </cell>
          <cell r="C236" t="str">
            <v>636616602D</v>
          </cell>
        </row>
        <row r="237">
          <cell r="B237" t="str">
            <v>84901M66R51-BHE</v>
          </cell>
          <cell r="C237" t="str">
            <v>633620700B</v>
          </cell>
        </row>
        <row r="238">
          <cell r="B238" t="str">
            <v>84901M66R52-BHE</v>
          </cell>
          <cell r="C238" t="str">
            <v>633620700D</v>
          </cell>
        </row>
        <row r="239">
          <cell r="B239" t="str">
            <v>84902M56R22-BHE</v>
          </cell>
          <cell r="C239" t="str">
            <v>639837302D</v>
          </cell>
        </row>
        <row r="240">
          <cell r="B240" t="str">
            <v>84902M66R42-BHE</v>
          </cell>
          <cell r="C240" t="str">
            <v>633615100C</v>
          </cell>
        </row>
        <row r="241">
          <cell r="B241" t="str">
            <v>84901M53M11-5PK</v>
          </cell>
          <cell r="C241" t="str">
            <v>628000600A</v>
          </cell>
        </row>
        <row r="242">
          <cell r="B242" t="str">
            <v>84901M53M51-5PK</v>
          </cell>
          <cell r="C242" t="str">
            <v>644854100CA</v>
          </cell>
        </row>
        <row r="243">
          <cell r="B243" t="str">
            <v>84901M53M51-LA5</v>
          </cell>
          <cell r="C243" t="str">
            <v>644869100CA</v>
          </cell>
        </row>
        <row r="244">
          <cell r="B244" t="str">
            <v>84901M67P01-LA5</v>
          </cell>
          <cell r="C244" t="str">
            <v>644869300CA</v>
          </cell>
        </row>
        <row r="245">
          <cell r="B245" t="str">
            <v>84902M67P01-LA5</v>
          </cell>
          <cell r="C245" t="str">
            <v>644869400CA</v>
          </cell>
        </row>
        <row r="246">
          <cell r="B246" t="str">
            <v>84902M81R30-BHE</v>
          </cell>
          <cell r="C246" t="str">
            <v>650853800E</v>
          </cell>
        </row>
        <row r="247">
          <cell r="B247" t="str">
            <v>84901M81R10-BHE</v>
          </cell>
          <cell r="C247" t="str">
            <v>650853300D</v>
          </cell>
        </row>
        <row r="248">
          <cell r="B248" t="str">
            <v>84901M81R30-BHE</v>
          </cell>
          <cell r="C248" t="str">
            <v>650853600E</v>
          </cell>
        </row>
        <row r="249">
          <cell r="B249" t="str">
            <v>84902M81R10-BHE</v>
          </cell>
          <cell r="C249" t="str">
            <v>650853400B</v>
          </cell>
        </row>
        <row r="250">
          <cell r="B250" t="str">
            <v>84902M81R20-BHE</v>
          </cell>
          <cell r="C250" t="str">
            <v>650853700C</v>
          </cell>
        </row>
        <row r="251">
          <cell r="B251" t="str">
            <v>84902M81R40-BHE</v>
          </cell>
          <cell r="C251" t="str">
            <v>650853900D</v>
          </cell>
        </row>
        <row r="252">
          <cell r="B252" t="str">
            <v>84901M69R10-BHE</v>
          </cell>
          <cell r="C252" t="str">
            <v>643703900A</v>
          </cell>
        </row>
        <row r="253">
          <cell r="B253" t="str">
            <v>84901M69R10-BHE</v>
          </cell>
          <cell r="C253" t="str">
            <v>643703900A</v>
          </cell>
        </row>
        <row r="254">
          <cell r="B254" t="str">
            <v>84901M69R50-BHE</v>
          </cell>
          <cell r="C254" t="str">
            <v>643704000B</v>
          </cell>
        </row>
        <row r="255">
          <cell r="B255" t="str">
            <v>84902M53M61-LA5</v>
          </cell>
          <cell r="C255" t="str">
            <v>644869200CA</v>
          </cell>
        </row>
        <row r="256">
          <cell r="B256" t="str">
            <v>84902M69R00-BHE</v>
          </cell>
          <cell r="C256" t="str">
            <v>643704100A</v>
          </cell>
        </row>
        <row r="257">
          <cell r="B257" t="str">
            <v>84901M76M60-BHE</v>
          </cell>
          <cell r="C257" t="str">
            <v>631374400C</v>
          </cell>
        </row>
        <row r="258">
          <cell r="B258" t="str">
            <v>84920M68P50-BHE</v>
          </cell>
          <cell r="C258" t="str">
            <v>630746700C</v>
          </cell>
        </row>
        <row r="259">
          <cell r="B259" t="str">
            <v>84940M68P50-BHE</v>
          </cell>
          <cell r="C259" t="str">
            <v>630746600C</v>
          </cell>
        </row>
        <row r="260">
          <cell r="B260" t="str">
            <v>84908M78L01-5PK</v>
          </cell>
          <cell r="C260" t="str">
            <v>617246501C</v>
          </cell>
        </row>
        <row r="261">
          <cell r="B261" t="str">
            <v>84908M78L11-5PK</v>
          </cell>
          <cell r="C261" t="str">
            <v>618012101C</v>
          </cell>
        </row>
        <row r="262">
          <cell r="B262" t="str">
            <v>84901M76M01-BHE</v>
          </cell>
          <cell r="C262" t="str">
            <v>630783400C</v>
          </cell>
        </row>
        <row r="263">
          <cell r="B263" t="str">
            <v>84902M76M20-BHE</v>
          </cell>
          <cell r="C263" t="str">
            <v>630783600C</v>
          </cell>
        </row>
        <row r="264">
          <cell r="B264" t="str">
            <v>84901M53M01-5PK</v>
          </cell>
          <cell r="C264" t="str">
            <v>627926700CA</v>
          </cell>
        </row>
        <row r="265">
          <cell r="B265" t="str">
            <v>84901M53M11-LA5</v>
          </cell>
          <cell r="C265" t="str">
            <v>644868200CA</v>
          </cell>
        </row>
        <row r="266">
          <cell r="B266" t="str">
            <v>84901M53M51-BHE</v>
          </cell>
          <cell r="C266" t="str">
            <v>644869101CA</v>
          </cell>
        </row>
        <row r="267">
          <cell r="B267" t="str">
            <v>84901M62S51-BHE</v>
          </cell>
          <cell r="C267" t="str">
            <v>652148100C</v>
          </cell>
        </row>
        <row r="268">
          <cell r="B268" t="str">
            <v>84901M67P01-BHE</v>
          </cell>
          <cell r="C268" t="str">
            <v>644869301CA</v>
          </cell>
        </row>
        <row r="269">
          <cell r="B269" t="str">
            <v>84901M67P31-BHE</v>
          </cell>
          <cell r="C269" t="str">
            <v>652304300BA</v>
          </cell>
        </row>
        <row r="270">
          <cell r="B270" t="str">
            <v>84901M72R22-HLK</v>
          </cell>
          <cell r="C270" t="str">
            <v>643683401C</v>
          </cell>
        </row>
        <row r="271">
          <cell r="B271" t="str">
            <v>84901M78L01-5PK</v>
          </cell>
          <cell r="C271" t="str">
            <v>620002800D</v>
          </cell>
        </row>
        <row r="272">
          <cell r="B272" t="str">
            <v>84901M78L11-5PK</v>
          </cell>
          <cell r="C272" t="str">
            <v>645005500CA</v>
          </cell>
        </row>
        <row r="273">
          <cell r="B273" t="str">
            <v>84901M81R20-BHE</v>
          </cell>
          <cell r="C273" t="str">
            <v>650853500C</v>
          </cell>
        </row>
        <row r="274">
          <cell r="B274" t="str">
            <v>84902M53M01-5PK</v>
          </cell>
          <cell r="C274" t="str">
            <v>628264300CA</v>
          </cell>
        </row>
        <row r="275">
          <cell r="B275" t="str">
            <v>84902M53M01-LA5</v>
          </cell>
          <cell r="C275" t="str">
            <v>644868700CA</v>
          </cell>
        </row>
        <row r="276">
          <cell r="B276" t="str">
            <v>84902M53M21-LA5</v>
          </cell>
          <cell r="C276" t="str">
            <v>644868900CA</v>
          </cell>
        </row>
        <row r="277">
          <cell r="B277" t="str">
            <v>84902M53M61-BHE</v>
          </cell>
          <cell r="C277" t="str">
            <v>644869201CA</v>
          </cell>
        </row>
        <row r="278">
          <cell r="B278" t="str">
            <v>84902M56R62-V6N</v>
          </cell>
          <cell r="C278" t="str">
            <v>639837601D</v>
          </cell>
        </row>
        <row r="279">
          <cell r="B279" t="str">
            <v>84902M62S41-BHE</v>
          </cell>
          <cell r="C279" t="str">
            <v>652148300C</v>
          </cell>
        </row>
        <row r="280">
          <cell r="B280" t="str">
            <v>84901M62S51-BHE</v>
          </cell>
          <cell r="C280" t="str">
            <v>652148100C</v>
          </cell>
        </row>
        <row r="281">
          <cell r="B281" t="str">
            <v>84902M67P01-5PK</v>
          </cell>
          <cell r="C281" t="str">
            <v>644861800CA</v>
          </cell>
        </row>
        <row r="282">
          <cell r="B282" t="str">
            <v>84902M67P01-BHE</v>
          </cell>
          <cell r="C282" t="str">
            <v>644869401CA</v>
          </cell>
        </row>
        <row r="283">
          <cell r="B283" t="str">
            <v>84902M67P31-BHE</v>
          </cell>
          <cell r="C283" t="str">
            <v>652304301BA</v>
          </cell>
        </row>
        <row r="284">
          <cell r="B284" t="str">
            <v>84902M72R02-HLK</v>
          </cell>
          <cell r="C284" t="str">
            <v>643683501C</v>
          </cell>
        </row>
        <row r="285">
          <cell r="B285" t="str">
            <v>84902M78L01-5PK</v>
          </cell>
          <cell r="C285" t="str">
            <v>620002900D</v>
          </cell>
        </row>
        <row r="286">
          <cell r="B286" t="str">
            <v>84902M78L01-P4Z</v>
          </cell>
          <cell r="C286" t="str">
            <v>620002955C</v>
          </cell>
        </row>
        <row r="287">
          <cell r="B287" t="str">
            <v>84910M68P11</v>
          </cell>
          <cell r="C287" t="str">
            <v>630747100B</v>
          </cell>
        </row>
        <row r="288">
          <cell r="B288" t="str">
            <v>84920M60M01-V6N</v>
          </cell>
          <cell r="C288" t="str">
            <v>620776880C</v>
          </cell>
        </row>
        <row r="289">
          <cell r="B289" t="str">
            <v>84920M74L01-BHE</v>
          </cell>
          <cell r="C289" t="str">
            <v>620776501C</v>
          </cell>
        </row>
        <row r="290">
          <cell r="B290" t="str">
            <v>84920M74L01-V6N</v>
          </cell>
          <cell r="C290" t="str">
            <v>620776580C</v>
          </cell>
        </row>
        <row r="291">
          <cell r="B291" t="str">
            <v>84940M60M01-V6N</v>
          </cell>
          <cell r="C291" t="str">
            <v>620776980C</v>
          </cell>
        </row>
        <row r="292">
          <cell r="B292" t="str">
            <v>84940M74L01-BHE</v>
          </cell>
          <cell r="C292" t="str">
            <v>620776401C</v>
          </cell>
        </row>
        <row r="293">
          <cell r="B293" t="str">
            <v>84901M56R32-HLK</v>
          </cell>
          <cell r="C293" t="str">
            <v>636616600D</v>
          </cell>
        </row>
        <row r="294">
          <cell r="B294" t="str">
            <v>84901M56R32-V6N</v>
          </cell>
          <cell r="C294" t="str">
            <v>636616601D</v>
          </cell>
        </row>
        <row r="295">
          <cell r="B295" t="str">
            <v>84901M56R52-BHE</v>
          </cell>
          <cell r="C295" t="str">
            <v>639837502D</v>
          </cell>
        </row>
        <row r="296">
          <cell r="B296" t="str">
            <v>84901M56R52-HLK</v>
          </cell>
          <cell r="C296" t="str">
            <v>639837500D</v>
          </cell>
        </row>
        <row r="297">
          <cell r="B297" t="str">
            <v>84901M56R52-V6N</v>
          </cell>
          <cell r="C297" t="str">
            <v>639837501D</v>
          </cell>
        </row>
        <row r="298">
          <cell r="B298" t="str">
            <v>84901M56R62-HLK</v>
          </cell>
          <cell r="C298" t="str">
            <v>639837800D</v>
          </cell>
        </row>
        <row r="299">
          <cell r="B299" t="str">
            <v>84901M69R61-BHE</v>
          </cell>
          <cell r="C299" t="str">
            <v>643704000B</v>
          </cell>
        </row>
        <row r="300">
          <cell r="B300" t="str">
            <v>84901M72R02-HLK</v>
          </cell>
          <cell r="C300" t="str">
            <v>643683201C</v>
          </cell>
        </row>
        <row r="301">
          <cell r="B301" t="str">
            <v>84901M72R22-V6N</v>
          </cell>
          <cell r="C301" t="str">
            <v>643683400C</v>
          </cell>
        </row>
        <row r="302">
          <cell r="B302" t="str">
            <v>84901M72RA2-HLK</v>
          </cell>
          <cell r="C302" t="str">
            <v>643683801C</v>
          </cell>
        </row>
        <row r="303">
          <cell r="B303" t="str">
            <v>84901M72RC2-BHE</v>
          </cell>
          <cell r="C303" t="str">
            <v>643684002C</v>
          </cell>
        </row>
        <row r="304">
          <cell r="B304" t="str">
            <v>84901M72RC2-HLK</v>
          </cell>
          <cell r="C304" t="str">
            <v>643684001C</v>
          </cell>
        </row>
        <row r="305">
          <cell r="B305" t="str">
            <v>84901M72RC2-V6N</v>
          </cell>
          <cell r="C305" t="str">
            <v>643684000C</v>
          </cell>
        </row>
        <row r="306">
          <cell r="B306" t="str">
            <v>84902M56R22-HLK</v>
          </cell>
          <cell r="C306" t="str">
            <v>639837300D</v>
          </cell>
        </row>
        <row r="307">
          <cell r="B307" t="str">
            <v>84902M56R22-V6N</v>
          </cell>
          <cell r="C307" t="str">
            <v>639837301D</v>
          </cell>
        </row>
        <row r="308">
          <cell r="B308" t="str">
            <v>84902M56R32-BHE</v>
          </cell>
          <cell r="C308" t="str">
            <v>639837402D</v>
          </cell>
        </row>
        <row r="309">
          <cell r="B309" t="str">
            <v>84902M56R32-HLK</v>
          </cell>
          <cell r="C309" t="str">
            <v>639837400D</v>
          </cell>
        </row>
        <row r="310">
          <cell r="B310" t="str">
            <v>84902M56R32-V6N</v>
          </cell>
          <cell r="C310" t="str">
            <v>639837401D</v>
          </cell>
        </row>
        <row r="311">
          <cell r="B311" t="str">
            <v>84902M56R62-BHE</v>
          </cell>
          <cell r="C311" t="str">
            <v>639837602D</v>
          </cell>
        </row>
        <row r="312">
          <cell r="B312" t="str">
            <v>84902M56R62-HLK</v>
          </cell>
          <cell r="C312" t="str">
            <v>639837600D</v>
          </cell>
        </row>
        <row r="313">
          <cell r="B313" t="str">
            <v>84902M66R52-BHE</v>
          </cell>
          <cell r="C313" t="str">
            <v>648811700B</v>
          </cell>
        </row>
        <row r="314">
          <cell r="B314" t="str">
            <v>84902M72R12-V6N</v>
          </cell>
          <cell r="C314" t="str">
            <v>643683600C</v>
          </cell>
        </row>
        <row r="315">
          <cell r="B315" t="str">
            <v>84902M72R22-HLK</v>
          </cell>
          <cell r="C315" t="str">
            <v>643683701C</v>
          </cell>
        </row>
        <row r="316">
          <cell r="B316" t="str">
            <v>84902M72RA2-HLK</v>
          </cell>
          <cell r="C316" t="str">
            <v>643684201C</v>
          </cell>
        </row>
        <row r="317">
          <cell r="B317" t="str">
            <v>84902M72RB1-BHE</v>
          </cell>
          <cell r="C317" t="str">
            <v>643684202B</v>
          </cell>
        </row>
        <row r="318">
          <cell r="B318" t="str">
            <v>84902M72RB2-V6N</v>
          </cell>
          <cell r="C318" t="str">
            <v>643684300C</v>
          </cell>
        </row>
        <row r="319">
          <cell r="B319" t="str">
            <v>84902M72RC2-HLK</v>
          </cell>
          <cell r="C319" t="str">
            <v>643684401C</v>
          </cell>
        </row>
        <row r="320">
          <cell r="B320" t="str">
            <v>84902M76M20-BHE</v>
          </cell>
          <cell r="C320" t="str">
            <v>630783600C</v>
          </cell>
        </row>
        <row r="321">
          <cell r="B321" t="str">
            <v>84901M67K00-ED3</v>
          </cell>
          <cell r="C321" t="str">
            <v>618010500C</v>
          </cell>
        </row>
        <row r="322">
          <cell r="B322" t="str">
            <v>84901M75J10-ED3</v>
          </cell>
          <cell r="C322" t="str">
            <v>618010800C</v>
          </cell>
        </row>
        <row r="323">
          <cell r="B323" t="str">
            <v>84901M84331</v>
          </cell>
          <cell r="C323" t="str">
            <v>617864200A</v>
          </cell>
        </row>
        <row r="324">
          <cell r="B324" t="str">
            <v>84910M74L10-5PK</v>
          </cell>
          <cell r="C324" t="str">
            <v>620776601B</v>
          </cell>
        </row>
        <row r="325">
          <cell r="B325" t="str">
            <v>84910M74L10-V6N</v>
          </cell>
          <cell r="C325" t="str">
            <v>618209680B</v>
          </cell>
        </row>
        <row r="326">
          <cell r="B326" t="str">
            <v>84910M75J00-5PK</v>
          </cell>
          <cell r="C326" t="str">
            <v>618209601B</v>
          </cell>
        </row>
        <row r="327">
          <cell r="B327" t="str">
            <v>84902M62S51-BHE</v>
          </cell>
          <cell r="C327" t="str">
            <v>652148100B</v>
          </cell>
        </row>
        <row r="328">
          <cell r="B328" t="str">
            <v>84901M62S41-BHE</v>
          </cell>
          <cell r="C328" t="str">
            <v>652148000C</v>
          </cell>
        </row>
        <row r="329">
          <cell r="B329" t="str">
            <v>84902M69R41-BHE</v>
          </cell>
          <cell r="C329" t="str">
            <v>643704300B</v>
          </cell>
        </row>
        <row r="330">
          <cell r="B330" t="str">
            <v>84901M72RC2-V6N</v>
          </cell>
          <cell r="C330" t="str">
            <v>643684000C</v>
          </cell>
        </row>
        <row r="331">
          <cell r="B331" t="str">
            <v>84902M53M21-5PK</v>
          </cell>
          <cell r="C331" t="str">
            <v>644853700C</v>
          </cell>
        </row>
        <row r="332">
          <cell r="B332" t="str">
            <v>84902M83K60-ED3</v>
          </cell>
          <cell r="C332" t="str">
            <v>628300200B</v>
          </cell>
        </row>
        <row r="333">
          <cell r="B333" t="str">
            <v>84901M75J10-ED3</v>
          </cell>
          <cell r="C333" t="str">
            <v>618010800D</v>
          </cell>
        </row>
        <row r="334">
          <cell r="B334" t="str">
            <v>84901M72S00-BHE</v>
          </cell>
          <cell r="C334" t="str">
            <v>659872200A</v>
          </cell>
        </row>
        <row r="335">
          <cell r="B335" t="str">
            <v>84902M72R12-HLK</v>
          </cell>
          <cell r="C335" t="str">
            <v>643683601C</v>
          </cell>
        </row>
        <row r="336">
          <cell r="B336" t="str">
            <v>84902M72RB2-HLK</v>
          </cell>
          <cell r="C336" t="str">
            <v>643684301C</v>
          </cell>
        </row>
        <row r="337">
          <cell r="B337" t="str">
            <v>84902M62S51-BHE</v>
          </cell>
          <cell r="C337" t="str">
            <v>652148400C</v>
          </cell>
        </row>
        <row r="338">
          <cell r="B338" t="str">
            <v>84901M83B11-P4Z</v>
          </cell>
          <cell r="C338" t="str">
            <v>620002855CA</v>
          </cell>
        </row>
        <row r="339">
          <cell r="B339" t="str">
            <v>84901M83K70-ED3</v>
          </cell>
          <cell r="C339" t="str">
            <v>628300300A</v>
          </cell>
        </row>
        <row r="340">
          <cell r="B340" t="str">
            <v>84901M76M11-BHE</v>
          </cell>
          <cell r="C340" t="str">
            <v>630782900C</v>
          </cell>
        </row>
        <row r="341">
          <cell r="B341" t="str">
            <v>84902M76M50-BHE</v>
          </cell>
          <cell r="C341" t="str">
            <v>631374500B</v>
          </cell>
        </row>
        <row r="342">
          <cell r="B342" t="str">
            <v>84901M75J11-B03</v>
          </cell>
          <cell r="C342" t="str">
            <v>619268496C</v>
          </cell>
        </row>
        <row r="343">
          <cell r="B343" t="str">
            <v>84902M76M01-BHE</v>
          </cell>
          <cell r="C343" t="str">
            <v>630783500C</v>
          </cell>
        </row>
        <row r="344">
          <cell r="B344" t="str">
            <v>84901M62B00</v>
          </cell>
          <cell r="C344" t="str">
            <v>618155400A</v>
          </cell>
        </row>
        <row r="345">
          <cell r="B345" t="str">
            <v>84904M78L50-P4Z</v>
          </cell>
          <cell r="C345" t="str">
            <v>618012200A</v>
          </cell>
        </row>
        <row r="346">
          <cell r="B346" t="str">
            <v>84904M843A0</v>
          </cell>
          <cell r="C346" t="str">
            <v>617864100A</v>
          </cell>
        </row>
        <row r="347">
          <cell r="B347" t="str">
            <v>84906M83B10-P4Z</v>
          </cell>
          <cell r="C347" t="str">
            <v>618594600A</v>
          </cell>
        </row>
        <row r="348">
          <cell r="B348" t="str">
            <v>84902M84331</v>
          </cell>
          <cell r="C348" t="str">
            <v>617864300A</v>
          </cell>
        </row>
        <row r="349">
          <cell r="B349" t="str">
            <v>84901M53T10-BHE</v>
          </cell>
          <cell r="C349" t="str">
            <v>660692800A</v>
          </cell>
        </row>
        <row r="350">
          <cell r="B350" t="str">
            <v>84902M53T10-BHE</v>
          </cell>
          <cell r="C350" t="str">
            <v>660692700A</v>
          </cell>
        </row>
        <row r="351">
          <cell r="B351" t="str">
            <v>84902M76M11-BHE</v>
          </cell>
          <cell r="C351" t="str">
            <v>630783600C</v>
          </cell>
        </row>
        <row r="352">
          <cell r="B352" t="str">
            <v>84902M53M61-5PK</v>
          </cell>
          <cell r="C352" t="str">
            <v>628000600CA</v>
          </cell>
        </row>
        <row r="353">
          <cell r="B353" t="str">
            <v>84920M69R21-BHE</v>
          </cell>
          <cell r="C353" t="str">
            <v>641704800H</v>
          </cell>
        </row>
        <row r="354">
          <cell r="B354" t="str">
            <v>84940M69R11-BHE</v>
          </cell>
          <cell r="C354" t="str">
            <v>641704700E</v>
          </cell>
        </row>
        <row r="355">
          <cell r="B355" t="str">
            <v>84920M69R21-BHE</v>
          </cell>
          <cell r="C355" t="str">
            <v>641704800H</v>
          </cell>
        </row>
        <row r="356">
          <cell r="B356" t="str">
            <v>84940M69R11-BHE</v>
          </cell>
          <cell r="C356" t="str">
            <v>641704700E</v>
          </cell>
        </row>
        <row r="357">
          <cell r="B357" t="str">
            <v>84902M53M61-5PK</v>
          </cell>
          <cell r="C357" t="str">
            <v>628000600CA</v>
          </cell>
        </row>
        <row r="358">
          <cell r="B358" t="str">
            <v>84901M56R52-BHE</v>
          </cell>
          <cell r="C358" t="str">
            <v>639837502D</v>
          </cell>
        </row>
        <row r="359">
          <cell r="B359" t="str">
            <v>48150M69R20-C48</v>
          </cell>
          <cell r="C359" t="str">
            <v>642735000E</v>
          </cell>
        </row>
        <row r="360">
          <cell r="B360" t="str">
            <v>48150M69R20-C48</v>
          </cell>
          <cell r="C360" t="str">
            <v>642735000E</v>
          </cell>
        </row>
        <row r="361">
          <cell r="B361" t="str">
            <v>84902M53M61-5PK</v>
          </cell>
          <cell r="C361" t="str">
            <v>628000600CA</v>
          </cell>
        </row>
        <row r="362">
          <cell r="B362" t="str">
            <v>84901M76M11-BHE</v>
          </cell>
          <cell r="C362" t="str">
            <v>630782900C</v>
          </cell>
        </row>
        <row r="363">
          <cell r="B363" t="str">
            <v>84901M76M11-BHE</v>
          </cell>
          <cell r="C363" t="str">
            <v>630782900C</v>
          </cell>
        </row>
        <row r="364">
          <cell r="B364" t="str">
            <v>48110M69R00-5PK</v>
          </cell>
          <cell r="C364" t="str">
            <v>642629200F</v>
          </cell>
        </row>
        <row r="365">
          <cell r="B365" t="str">
            <v>48110M69R00-5PK</v>
          </cell>
          <cell r="C365" t="str">
            <v>642629200F</v>
          </cell>
        </row>
        <row r="366">
          <cell r="B366" t="str">
            <v>84910M68P00</v>
          </cell>
          <cell r="C366" t="str">
            <v>630747000A</v>
          </cell>
        </row>
        <row r="367">
          <cell r="B367" t="str">
            <v>76480M68P00</v>
          </cell>
          <cell r="C367" t="str">
            <v>628813900D</v>
          </cell>
        </row>
        <row r="368">
          <cell r="B368" t="str">
            <v>84901M75J02-ED3</v>
          </cell>
          <cell r="C368" t="str">
            <v>618010700CA</v>
          </cell>
        </row>
        <row r="369">
          <cell r="B369" t="str">
            <v>48110M68PQ1-C48</v>
          </cell>
          <cell r="C369" t="str">
            <v>632471500D</v>
          </cell>
        </row>
        <row r="370">
          <cell r="B370" t="str">
            <v>84902M72RB2-BHE</v>
          </cell>
          <cell r="C370" t="str">
            <v>643684300C</v>
          </cell>
        </row>
        <row r="371">
          <cell r="B371" t="str">
            <v>76480M68P11</v>
          </cell>
          <cell r="C371" t="str">
            <v>628813900E</v>
          </cell>
        </row>
        <row r="372">
          <cell r="B372" t="str">
            <v>84920M60M41-V6N</v>
          </cell>
          <cell r="C372" t="str">
            <v>624248880C</v>
          </cell>
        </row>
        <row r="373">
          <cell r="B373" t="str">
            <v>76480M74T00</v>
          </cell>
          <cell r="C373" t="str">
            <v>660559300B</v>
          </cell>
        </row>
        <row r="374">
          <cell r="B374" t="str">
            <v>76490M74T00</v>
          </cell>
          <cell r="C374" t="str">
            <v>660559500B</v>
          </cell>
        </row>
        <row r="375">
          <cell r="B375" t="str">
            <v>76480M74T00</v>
          </cell>
          <cell r="C375" t="str">
            <v>660559300B</v>
          </cell>
        </row>
        <row r="376">
          <cell r="B376" t="str">
            <v>76490M55T00</v>
          </cell>
          <cell r="C376" t="str">
            <v>655976400D</v>
          </cell>
        </row>
        <row r="377">
          <cell r="B377" t="str">
            <v>73910M80T00-5PK</v>
          </cell>
          <cell r="C377" t="str">
            <v>657937100D</v>
          </cell>
        </row>
        <row r="378">
          <cell r="B378" t="str">
            <v>84920M56R12-V6N</v>
          </cell>
          <cell r="C378" t="str">
            <v>636618401E</v>
          </cell>
        </row>
        <row r="379">
          <cell r="B379" t="str">
            <v>84920M56R12-V6N</v>
          </cell>
          <cell r="C379" t="str">
            <v>636618401E</v>
          </cell>
        </row>
        <row r="380">
          <cell r="B380" t="str">
            <v>84904M80T00-5PK</v>
          </cell>
          <cell r="C380" t="str">
            <v>656740800A</v>
          </cell>
        </row>
        <row r="381">
          <cell r="B381" t="str">
            <v>73910M53T50-QBQ</v>
          </cell>
          <cell r="C381" t="str">
            <v>653572401F</v>
          </cell>
        </row>
        <row r="382">
          <cell r="B382" t="str">
            <v>84920M72RC2-SMC</v>
          </cell>
          <cell r="C382" t="str">
            <v>640402602E</v>
          </cell>
        </row>
        <row r="383">
          <cell r="B383" t="str">
            <v>84920M72RC2-BHE</v>
          </cell>
          <cell r="C383" t="str">
            <v>640402602E</v>
          </cell>
        </row>
        <row r="384">
          <cell r="B384" t="str">
            <v>73910M53T00-QBQ</v>
          </cell>
          <cell r="C384" t="str">
            <v>653572400F</v>
          </cell>
        </row>
        <row r="385">
          <cell r="B385" t="str">
            <v>84904M80T00-5PK</v>
          </cell>
          <cell r="C385" t="str">
            <v>656740800A</v>
          </cell>
        </row>
        <row r="386">
          <cell r="B386" t="str">
            <v>84901M67K01-ED3</v>
          </cell>
          <cell r="C386" t="str">
            <v>618457300C</v>
          </cell>
        </row>
        <row r="387">
          <cell r="B387" t="str">
            <v>73112M75T00</v>
          </cell>
          <cell r="C387" t="str">
            <v>659410400A</v>
          </cell>
        </row>
        <row r="388">
          <cell r="B388" t="str">
            <v>73112M75T50</v>
          </cell>
          <cell r="C388" t="str">
            <v>663078000A</v>
          </cell>
        </row>
        <row r="389">
          <cell r="B389" t="str">
            <v>73910M75T00</v>
          </cell>
          <cell r="C389" t="str">
            <v>659409700D</v>
          </cell>
        </row>
        <row r="390">
          <cell r="B390" t="str">
            <v>84920M56R13-V6N</v>
          </cell>
          <cell r="C390" t="str">
            <v>636618401G</v>
          </cell>
        </row>
        <row r="391">
          <cell r="B391" t="str">
            <v>84920M62S32-BHE</v>
          </cell>
          <cell r="C391" t="str">
            <v>647854600D</v>
          </cell>
        </row>
        <row r="392">
          <cell r="B392" t="str">
            <v>84920M72R23-V6N</v>
          </cell>
          <cell r="C392" t="str">
            <v>640402200G</v>
          </cell>
        </row>
        <row r="393">
          <cell r="B393" t="str">
            <v>84920M72RC3-BHE</v>
          </cell>
          <cell r="C393" t="str">
            <v>640402602G</v>
          </cell>
        </row>
        <row r="394">
          <cell r="B394" t="str">
            <v>84920M81R11-BHE</v>
          </cell>
          <cell r="C394" t="str">
            <v>648992700D</v>
          </cell>
        </row>
        <row r="395">
          <cell r="B395" t="str">
            <v>84940M62S32-BHE</v>
          </cell>
          <cell r="C395" t="str">
            <v>647854700D</v>
          </cell>
        </row>
        <row r="396">
          <cell r="B396" t="str">
            <v>84940M72R03-V6N</v>
          </cell>
          <cell r="C396" t="str">
            <v>640402100G</v>
          </cell>
        </row>
        <row r="397">
          <cell r="B397" t="str">
            <v>84940M72RA3-BHE</v>
          </cell>
          <cell r="C397" t="str">
            <v>640402502G</v>
          </cell>
        </row>
        <row r="398">
          <cell r="B398" t="str">
            <v>84940M81R11-BHE</v>
          </cell>
          <cell r="C398" t="str">
            <v>648995100D</v>
          </cell>
        </row>
        <row r="399">
          <cell r="B399" t="str">
            <v>84940M56R13-V6N</v>
          </cell>
          <cell r="C399" t="str">
            <v>636618501G</v>
          </cell>
        </row>
        <row r="400">
          <cell r="B400" t="str">
            <v>84920M69R22-BHE</v>
          </cell>
          <cell r="C400" t="str">
            <v>641704800L</v>
          </cell>
        </row>
        <row r="401">
          <cell r="B401" t="str">
            <v>84940M69R12-BHE</v>
          </cell>
          <cell r="C401" t="str">
            <v>641704700G</v>
          </cell>
        </row>
        <row r="402">
          <cell r="B402" t="str">
            <v>76480M55U00</v>
          </cell>
          <cell r="C402" t="str">
            <v>663523800F</v>
          </cell>
        </row>
        <row r="403">
          <cell r="B403" t="str">
            <v>76490M55U00</v>
          </cell>
          <cell r="C403" t="str">
            <v>663524100F</v>
          </cell>
        </row>
        <row r="404">
          <cell r="B404" t="str">
            <v>84901M82P20-BHE</v>
          </cell>
          <cell r="C404" t="str">
            <v>633998200BA</v>
          </cell>
        </row>
        <row r="405">
          <cell r="B405" t="str">
            <v>76480M55U00</v>
          </cell>
          <cell r="C405" t="str">
            <v>663523800F</v>
          </cell>
        </row>
        <row r="406">
          <cell r="B406" t="str">
            <v>76490M55U00</v>
          </cell>
          <cell r="C406" t="str">
            <v>663524100F</v>
          </cell>
        </row>
        <row r="407">
          <cell r="B407" t="str">
            <v>85350M72U00</v>
          </cell>
          <cell r="C407" t="str">
            <v>663392000B</v>
          </cell>
        </row>
        <row r="408">
          <cell r="B408" t="str">
            <v>85850M72U00</v>
          </cell>
          <cell r="C408" t="str">
            <v>663392100B</v>
          </cell>
        </row>
        <row r="409">
          <cell r="B409" t="str">
            <v>84961M68P00</v>
          </cell>
          <cell r="C409" t="str">
            <v>639806000A</v>
          </cell>
        </row>
        <row r="410">
          <cell r="B410" t="str">
            <v>48110M69R70-GJL</v>
          </cell>
          <cell r="C410" t="str">
            <v>642629400F</v>
          </cell>
        </row>
        <row r="411">
          <cell r="B411" t="str">
            <v>48110M69R10-GJL</v>
          </cell>
          <cell r="C411" t="str">
            <v>642629300F</v>
          </cell>
        </row>
        <row r="412">
          <cell r="B412" t="str">
            <v>48110M62S20-5PK</v>
          </cell>
          <cell r="C412" t="str">
            <v>657893200A</v>
          </cell>
        </row>
        <row r="413">
          <cell r="B413" t="str">
            <v>48110M62S30-5PK</v>
          </cell>
          <cell r="C413" t="str">
            <v>651462200A</v>
          </cell>
        </row>
        <row r="414">
          <cell r="B414" t="str">
            <v>48110M69R60-GJL</v>
          </cell>
          <cell r="C414" t="str">
            <v>648425300B</v>
          </cell>
        </row>
        <row r="415">
          <cell r="B415" t="str">
            <v>48110M69R00-5PK</v>
          </cell>
          <cell r="C415" t="str">
            <v>642629200F</v>
          </cell>
        </row>
        <row r="416">
          <cell r="B416" t="str">
            <v>84960M78T01-5PK</v>
          </cell>
          <cell r="C416" t="str">
            <v>662577700A</v>
          </cell>
        </row>
        <row r="417">
          <cell r="B417" t="str">
            <v>84976M78L00-5PK</v>
          </cell>
          <cell r="C417" t="str">
            <v>617246301B</v>
          </cell>
        </row>
        <row r="418">
          <cell r="B418" t="str">
            <v>84950M78T00-5PK</v>
          </cell>
          <cell r="C418" t="str">
            <v>6172459K0C</v>
          </cell>
        </row>
        <row r="419">
          <cell r="B419" t="str">
            <v>84940M78T00-5PK</v>
          </cell>
          <cell r="C419" t="str">
            <v>6172452K0D</v>
          </cell>
        </row>
        <row r="420">
          <cell r="B420" t="str">
            <v>84920M78T00-5PK</v>
          </cell>
          <cell r="C420" t="str">
            <v>6172454K0D</v>
          </cell>
        </row>
        <row r="421">
          <cell r="B421" t="str">
            <v>84970M78T50-5PK</v>
          </cell>
          <cell r="C421" t="str">
            <v>664078700A</v>
          </cell>
        </row>
        <row r="422">
          <cell r="B422" t="str">
            <v>84950M78T50-5PK</v>
          </cell>
          <cell r="C422" t="str">
            <v>664078800A</v>
          </cell>
        </row>
        <row r="423">
          <cell r="B423" t="str">
            <v>84976M78T60-5PK</v>
          </cell>
          <cell r="C423" t="str">
            <v>664698200A</v>
          </cell>
        </row>
        <row r="424">
          <cell r="B424" t="str">
            <v>84960M78T60-5PK</v>
          </cell>
          <cell r="C424" t="str">
            <v>664079200A</v>
          </cell>
        </row>
        <row r="425">
          <cell r="B425" t="str">
            <v>84960M78T50-5PK</v>
          </cell>
          <cell r="C425" t="str">
            <v>664079100A</v>
          </cell>
        </row>
        <row r="426">
          <cell r="B426" t="str">
            <v>84950M80T00</v>
          </cell>
          <cell r="C426" t="str">
            <v>656737900B</v>
          </cell>
        </row>
        <row r="427">
          <cell r="B427" t="str">
            <v>84950M80T10</v>
          </cell>
          <cell r="C427" t="str">
            <v>656738100C</v>
          </cell>
        </row>
        <row r="428">
          <cell r="B428" t="str">
            <v>84960M80T00-5PK</v>
          </cell>
          <cell r="C428" t="str">
            <v>656738200C</v>
          </cell>
        </row>
        <row r="429">
          <cell r="B429" t="str">
            <v>84960M80T20-5PK</v>
          </cell>
          <cell r="C429" t="str">
            <v>656741000D</v>
          </cell>
        </row>
        <row r="430">
          <cell r="B430" t="str">
            <v>76410M78L00-5PK</v>
          </cell>
          <cell r="C430" t="str">
            <v>622452200A</v>
          </cell>
        </row>
        <row r="431">
          <cell r="B431" t="str">
            <v>84940M53T21-BHE</v>
          </cell>
          <cell r="C431" t="str">
            <v>655826500C</v>
          </cell>
        </row>
        <row r="432">
          <cell r="B432" t="str">
            <v>84940M53T11-BHE</v>
          </cell>
          <cell r="C432" t="str">
            <v>655408200C</v>
          </cell>
        </row>
        <row r="433">
          <cell r="B433" t="str">
            <v>84920M53T21-BHE</v>
          </cell>
          <cell r="C433" t="str">
            <v>655826600C</v>
          </cell>
        </row>
        <row r="434">
          <cell r="B434" t="str">
            <v>84920M53T11-BHE</v>
          </cell>
          <cell r="C434" t="str">
            <v>655408100C</v>
          </cell>
        </row>
        <row r="435">
          <cell r="B435" t="str">
            <v>84940M66R13-BHE</v>
          </cell>
          <cell r="C435" t="str">
            <v>633620800F</v>
          </cell>
        </row>
        <row r="436">
          <cell r="B436" t="str">
            <v>84920M66R13-BHE</v>
          </cell>
          <cell r="C436" t="str">
            <v>633620900F</v>
          </cell>
        </row>
        <row r="437">
          <cell r="B437" t="str">
            <v>84940M69R12-BHE</v>
          </cell>
          <cell r="C437" t="str">
            <v>641704700G</v>
          </cell>
        </row>
        <row r="438">
          <cell r="B438" t="str">
            <v>84920M69R22-BHE</v>
          </cell>
          <cell r="C438" t="str">
            <v>641704800L</v>
          </cell>
        </row>
        <row r="439">
          <cell r="B439" t="str">
            <v>84960M78T11-5PK</v>
          </cell>
          <cell r="C439" t="str">
            <v>662577600A</v>
          </cell>
        </row>
        <row r="440">
          <cell r="B440" t="str">
            <v>84940M78U00-BHE</v>
          </cell>
          <cell r="C440" t="str">
            <v>665724900B</v>
          </cell>
        </row>
        <row r="441">
          <cell r="B441" t="str">
            <v>84920M78U00-BHE</v>
          </cell>
          <cell r="C441" t="str">
            <v>665725000B</v>
          </cell>
        </row>
        <row r="442">
          <cell r="B442" t="str">
            <v>84940M78U00-5PK</v>
          </cell>
          <cell r="C442" t="str">
            <v>665724901B</v>
          </cell>
        </row>
        <row r="443">
          <cell r="B443" t="str">
            <v>84920M78U00-5PK</v>
          </cell>
          <cell r="C443" t="str">
            <v>665725001B</v>
          </cell>
        </row>
        <row r="444">
          <cell r="B444" t="str">
            <v>84940M53T22-BHE</v>
          </cell>
          <cell r="C444" t="str">
            <v>655826500D</v>
          </cell>
        </row>
        <row r="445">
          <cell r="B445" t="str">
            <v>84940M78T01-5PK</v>
          </cell>
          <cell r="C445" t="str">
            <v>6172452K0E</v>
          </cell>
        </row>
        <row r="446">
          <cell r="B446" t="str">
            <v>84960M78T12-5PK</v>
          </cell>
          <cell r="C446" t="str">
            <v>662577600B</v>
          </cell>
        </row>
        <row r="447">
          <cell r="B447" t="str">
            <v>84960M80T21-5PK</v>
          </cell>
          <cell r="C447" t="str">
            <v>656741000E</v>
          </cell>
        </row>
        <row r="448">
          <cell r="B448" t="str">
            <v>84920M66R14-BHE</v>
          </cell>
          <cell r="C448" t="str">
            <v>633620900G</v>
          </cell>
        </row>
        <row r="449">
          <cell r="B449" t="str">
            <v>84950M78T01-5PK</v>
          </cell>
          <cell r="C449" t="str">
            <v>6172459K0D</v>
          </cell>
        </row>
        <row r="450">
          <cell r="B450" t="str">
            <v>84960M78T02-5PK</v>
          </cell>
          <cell r="C450" t="str">
            <v>662577700B</v>
          </cell>
        </row>
        <row r="451">
          <cell r="B451" t="str">
            <v>84940M66R14-BHE</v>
          </cell>
          <cell r="C451" t="str">
            <v>633620800G</v>
          </cell>
        </row>
        <row r="452">
          <cell r="B452" t="str">
            <v>84960M80T01-5PK</v>
          </cell>
          <cell r="C452" t="str">
            <v>656738200D</v>
          </cell>
        </row>
        <row r="453">
          <cell r="B453" t="str">
            <v>84920M78T01-5PK</v>
          </cell>
          <cell r="C453" t="str">
            <v>6172454K0E</v>
          </cell>
        </row>
        <row r="454">
          <cell r="B454" t="str">
            <v>84920M53T22-BHE</v>
          </cell>
          <cell r="C454" t="str">
            <v>655826600D</v>
          </cell>
        </row>
        <row r="455">
          <cell r="B455" t="str">
            <v>84940M53T12-BHE</v>
          </cell>
          <cell r="C455" t="str">
            <v>655408200D</v>
          </cell>
        </row>
        <row r="456">
          <cell r="B456" t="str">
            <v>84920M53T12-BHE</v>
          </cell>
          <cell r="C456" t="str">
            <v>655408100D</v>
          </cell>
        </row>
        <row r="457">
          <cell r="B457" t="str">
            <v>84920M69R23-BHE</v>
          </cell>
          <cell r="C457" t="str">
            <v>641704800M</v>
          </cell>
        </row>
        <row r="458">
          <cell r="B458" t="str">
            <v>84960M78T61-5PK</v>
          </cell>
          <cell r="C458" t="str">
            <v>664079200B</v>
          </cell>
        </row>
        <row r="459">
          <cell r="B459" t="str">
            <v>84940M69R13-BHE</v>
          </cell>
          <cell r="C459" t="str">
            <v>641704700H</v>
          </cell>
        </row>
        <row r="460">
          <cell r="B460" t="str">
            <v>73910M80T50-5PK</v>
          </cell>
          <cell r="C460" t="str">
            <v>657937101E</v>
          </cell>
        </row>
        <row r="461">
          <cell r="B461" t="str">
            <v>73910M80T00-5PK</v>
          </cell>
          <cell r="C461" t="str">
            <v>657937100E</v>
          </cell>
        </row>
        <row r="462">
          <cell r="B462" t="str">
            <v>73910M53T50-QBQ</v>
          </cell>
          <cell r="C462" t="str">
            <v>653572401F</v>
          </cell>
        </row>
        <row r="463">
          <cell r="B463" t="str">
            <v>73910M78T00-5PK</v>
          </cell>
          <cell r="C463" t="str">
            <v>656268300F</v>
          </cell>
        </row>
        <row r="464">
          <cell r="B464" t="str">
            <v>48150M69R20-C48</v>
          </cell>
          <cell r="C464" t="str">
            <v>642735000E</v>
          </cell>
        </row>
        <row r="465">
          <cell r="B465" t="str">
            <v>73910M53T00-QBQ</v>
          </cell>
          <cell r="C465" t="str">
            <v>653572400F</v>
          </cell>
        </row>
        <row r="466">
          <cell r="B466" t="str">
            <v>48150M69R00-C48</v>
          </cell>
          <cell r="C466" t="str">
            <v>642735100F</v>
          </cell>
        </row>
        <row r="467">
          <cell r="B467" t="str">
            <v>73910M66R00-5PK</v>
          </cell>
          <cell r="C467" t="str">
            <v>635886200E</v>
          </cell>
        </row>
        <row r="468">
          <cell r="B468" t="str">
            <v>84902M78L21-5PK</v>
          </cell>
          <cell r="C468" t="str">
            <v>645722700C</v>
          </cell>
        </row>
        <row r="469">
          <cell r="B469" t="str">
            <v>76490M74T00</v>
          </cell>
          <cell r="C469" t="str">
            <v>660559500B</v>
          </cell>
        </row>
        <row r="470">
          <cell r="B470" t="str">
            <v>76480M74T00</v>
          </cell>
          <cell r="C470" t="str">
            <v>660559300B</v>
          </cell>
        </row>
        <row r="471">
          <cell r="B471" t="str">
            <v>76490M74T00</v>
          </cell>
          <cell r="C471" t="str">
            <v>660559500B</v>
          </cell>
        </row>
        <row r="472">
          <cell r="B472" t="str">
            <v>84902M67P01-BHE</v>
          </cell>
          <cell r="C472" t="str">
            <v>644869401CA</v>
          </cell>
        </row>
        <row r="473">
          <cell r="B473" t="str">
            <v>84970M71U10-5PK</v>
          </cell>
          <cell r="C473" t="str">
            <v>665803500B</v>
          </cell>
        </row>
        <row r="474">
          <cell r="B474" t="str">
            <v>84970M71U00-5PK</v>
          </cell>
          <cell r="C474" t="str">
            <v>665805200B</v>
          </cell>
        </row>
        <row r="475">
          <cell r="B475" t="str">
            <v>84950M71U10-5PK</v>
          </cell>
          <cell r="C475" t="str">
            <v>666111400B</v>
          </cell>
        </row>
        <row r="476">
          <cell r="B476" t="str">
            <v>84950M71U00-5PK</v>
          </cell>
          <cell r="C476" t="str">
            <v>666111100B</v>
          </cell>
        </row>
        <row r="477">
          <cell r="B477" t="str">
            <v>84975M71U00-5PK</v>
          </cell>
          <cell r="C477" t="str">
            <v>666110900B</v>
          </cell>
        </row>
        <row r="478">
          <cell r="B478" t="str">
            <v>84920M71U00-BHE</v>
          </cell>
          <cell r="C478" t="str">
            <v>665804600C</v>
          </cell>
        </row>
        <row r="479">
          <cell r="B479" t="str">
            <v>84940M71U00-BHE</v>
          </cell>
          <cell r="C479" t="str">
            <v>665804800C</v>
          </cell>
        </row>
        <row r="480">
          <cell r="B480" t="str">
            <v>84960M71U00-5PK</v>
          </cell>
          <cell r="C480" t="str">
            <v>666533800D</v>
          </cell>
        </row>
        <row r="481">
          <cell r="B481" t="str">
            <v>84980M71U00-5PK</v>
          </cell>
          <cell r="C481" t="str">
            <v>666534000D</v>
          </cell>
        </row>
        <row r="482">
          <cell r="B482" t="str">
            <v>84985M71U00-5PK</v>
          </cell>
          <cell r="C482" t="str">
            <v>666534200B</v>
          </cell>
        </row>
        <row r="483">
          <cell r="B483" t="str">
            <v>84920M75T10-FHW</v>
          </cell>
          <cell r="C483" t="str">
            <v>664395202D</v>
          </cell>
        </row>
        <row r="484">
          <cell r="B484" t="str">
            <v>84940M75T00-FHW</v>
          </cell>
          <cell r="C484" t="str">
            <v>662939502E</v>
          </cell>
        </row>
        <row r="485">
          <cell r="B485" t="str">
            <v>84920M75T01-FHW</v>
          </cell>
          <cell r="C485" t="str">
            <v>662939701E</v>
          </cell>
        </row>
        <row r="486">
          <cell r="B486" t="str">
            <v>84940M75T11-FHW</v>
          </cell>
          <cell r="C486" t="str">
            <v>664395002E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ord Autoliv">
  <a:themeElements>
    <a:clrScheme name="Autoliv">
      <a:dk1>
        <a:srgbClr val="474C4F"/>
      </a:dk1>
      <a:lt1>
        <a:srgbClr val="FFFFFF"/>
      </a:lt1>
      <a:dk2>
        <a:srgbClr val="000000"/>
      </a:dk2>
      <a:lt2>
        <a:srgbClr val="7DB03C"/>
      </a:lt2>
      <a:accent1>
        <a:srgbClr val="005496"/>
      </a:accent1>
      <a:accent2>
        <a:srgbClr val="009FE3"/>
      </a:accent2>
      <a:accent3>
        <a:srgbClr val="99D8F4"/>
      </a:accent3>
      <a:accent4>
        <a:srgbClr val="722373"/>
      </a:accent4>
      <a:accent5>
        <a:srgbClr val="E3051B"/>
      </a:accent5>
      <a:accent6>
        <a:srgbClr val="FBBB21"/>
      </a:accent6>
      <a:hlink>
        <a:srgbClr val="009FE3"/>
      </a:hlink>
      <a:folHlink>
        <a:srgbClr val="99BBD5"/>
      </a:folHlink>
    </a:clrScheme>
    <a:fontScheme name="Autoliv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G14"/>
  <sheetViews>
    <sheetView zoomScaleNormal="100" workbookViewId="0">
      <selection activeCell="F1" sqref="F1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1.83203125" bestFit="1" customWidth="1"/>
    <col min="4" max="4" width="37.58203125" bestFit="1" customWidth="1"/>
    <col min="5" max="5" width="5.1640625" bestFit="1" customWidth="1"/>
    <col min="6" max="6" width="6.4140625" bestFit="1" customWidth="1"/>
    <col min="7" max="7" width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1228</v>
      </c>
      <c r="B2" s="3" t="s">
        <v>7</v>
      </c>
      <c r="C2" s="4" t="s">
        <v>8</v>
      </c>
      <c r="D2" s="5" t="s">
        <v>9</v>
      </c>
      <c r="E2" s="6">
        <v>30</v>
      </c>
      <c r="F2" s="10">
        <v>750</v>
      </c>
      <c r="G2" s="6">
        <f>F2/E2</f>
        <v>25</v>
      </c>
    </row>
    <row r="3" spans="1:7" x14ac:dyDescent="0.3">
      <c r="A3" s="3">
        <v>1228</v>
      </c>
      <c r="B3" s="3" t="s">
        <v>10</v>
      </c>
      <c r="C3" s="4" t="s">
        <v>11</v>
      </c>
      <c r="D3" s="5" t="s">
        <v>12</v>
      </c>
      <c r="E3" s="6">
        <v>30</v>
      </c>
      <c r="F3" s="10">
        <v>750</v>
      </c>
      <c r="G3" s="6">
        <f t="shared" ref="G3:G14" si="0">F3/E3</f>
        <v>25</v>
      </c>
    </row>
    <row r="4" spans="1:7" x14ac:dyDescent="0.3">
      <c r="A4" s="3">
        <v>1228</v>
      </c>
      <c r="B4" s="3" t="s">
        <v>13</v>
      </c>
      <c r="C4" s="3" t="s">
        <v>14</v>
      </c>
      <c r="D4" s="3" t="s">
        <v>15</v>
      </c>
      <c r="E4" s="6">
        <v>30</v>
      </c>
      <c r="F4" s="10">
        <v>210</v>
      </c>
      <c r="G4" s="6">
        <f t="shared" si="0"/>
        <v>7</v>
      </c>
    </row>
    <row r="5" spans="1:7" x14ac:dyDescent="0.3">
      <c r="A5" s="3">
        <v>1228</v>
      </c>
      <c r="B5" s="3" t="s">
        <v>16</v>
      </c>
      <c r="C5" s="3" t="s">
        <v>17</v>
      </c>
      <c r="D5" s="3" t="s">
        <v>18</v>
      </c>
      <c r="E5" s="6">
        <v>30</v>
      </c>
      <c r="F5" s="10">
        <v>210</v>
      </c>
      <c r="G5" s="6">
        <f t="shared" si="0"/>
        <v>7</v>
      </c>
    </row>
    <row r="6" spans="1:7" x14ac:dyDescent="0.3">
      <c r="A6" s="3">
        <v>1003</v>
      </c>
      <c r="B6" s="3" t="s">
        <v>19</v>
      </c>
      <c r="C6" s="4" t="s">
        <v>20</v>
      </c>
      <c r="D6" s="5" t="s">
        <v>21</v>
      </c>
      <c r="E6" s="7">
        <v>6</v>
      </c>
      <c r="F6" s="10">
        <f>156*6</f>
        <v>936</v>
      </c>
      <c r="G6" s="6">
        <f t="shared" si="0"/>
        <v>156</v>
      </c>
    </row>
    <row r="7" spans="1:7" x14ac:dyDescent="0.3">
      <c r="A7" s="3">
        <v>1003</v>
      </c>
      <c r="B7" s="3" t="s">
        <v>22</v>
      </c>
      <c r="C7" s="4" t="s">
        <v>23</v>
      </c>
      <c r="D7" s="5" t="s">
        <v>24</v>
      </c>
      <c r="E7" s="5">
        <v>6</v>
      </c>
      <c r="F7" s="10">
        <v>936</v>
      </c>
      <c r="G7" s="6">
        <f t="shared" si="0"/>
        <v>156</v>
      </c>
    </row>
    <row r="8" spans="1:7" x14ac:dyDescent="0.3">
      <c r="A8" s="3">
        <v>1003</v>
      </c>
      <c r="B8" s="3" t="s">
        <v>25</v>
      </c>
      <c r="C8" s="4" t="s">
        <v>26</v>
      </c>
      <c r="D8" s="5" t="s">
        <v>27</v>
      </c>
      <c r="E8" s="6">
        <v>30</v>
      </c>
      <c r="F8" s="10">
        <v>0</v>
      </c>
      <c r="G8" s="6">
        <f t="shared" si="0"/>
        <v>0</v>
      </c>
    </row>
    <row r="9" spans="1:7" x14ac:dyDescent="0.3">
      <c r="A9" s="3">
        <v>1003</v>
      </c>
      <c r="B9" s="3" t="s">
        <v>28</v>
      </c>
      <c r="C9" s="4" t="s">
        <v>29</v>
      </c>
      <c r="D9" s="5" t="s">
        <v>30</v>
      </c>
      <c r="E9" s="6">
        <v>30</v>
      </c>
      <c r="F9" s="10">
        <v>0</v>
      </c>
      <c r="G9" s="6">
        <f t="shared" si="0"/>
        <v>0</v>
      </c>
    </row>
    <row r="10" spans="1:7" x14ac:dyDescent="0.3">
      <c r="A10" s="3">
        <v>1228</v>
      </c>
      <c r="B10" s="3" t="s">
        <v>31</v>
      </c>
      <c r="C10" s="4" t="s">
        <v>32</v>
      </c>
      <c r="D10" s="5" t="s">
        <v>33</v>
      </c>
      <c r="E10" s="6">
        <v>30</v>
      </c>
      <c r="F10" s="10">
        <v>0</v>
      </c>
      <c r="G10" s="6">
        <f t="shared" si="0"/>
        <v>0</v>
      </c>
    </row>
    <row r="11" spans="1:7" x14ac:dyDescent="0.3">
      <c r="A11" s="3">
        <v>1228</v>
      </c>
      <c r="B11" s="8" t="s">
        <v>34</v>
      </c>
      <c r="C11" s="4" t="s">
        <v>35</v>
      </c>
      <c r="D11" s="9" t="s">
        <v>36</v>
      </c>
      <c r="E11" s="6">
        <v>30</v>
      </c>
      <c r="F11" s="10">
        <f>33*30</f>
        <v>990</v>
      </c>
      <c r="G11" s="6">
        <f t="shared" si="0"/>
        <v>33</v>
      </c>
    </row>
    <row r="12" spans="1:7" x14ac:dyDescent="0.3">
      <c r="A12" s="3">
        <v>1228</v>
      </c>
      <c r="B12" s="8" t="s">
        <v>37</v>
      </c>
      <c r="C12" s="4" t="s">
        <v>38</v>
      </c>
      <c r="D12" s="9" t="s">
        <v>39</v>
      </c>
      <c r="E12" s="6">
        <v>30</v>
      </c>
      <c r="F12" s="10">
        <v>990</v>
      </c>
      <c r="G12" s="6">
        <f t="shared" si="0"/>
        <v>33</v>
      </c>
    </row>
    <row r="13" spans="1:7" x14ac:dyDescent="0.3">
      <c r="A13" s="3">
        <v>1228</v>
      </c>
      <c r="B13" s="4" t="s">
        <v>40</v>
      </c>
      <c r="C13" s="4" t="s">
        <v>41</v>
      </c>
      <c r="D13" s="4" t="s">
        <v>42</v>
      </c>
      <c r="E13" s="6">
        <v>30</v>
      </c>
      <c r="F13" s="10">
        <v>60</v>
      </c>
      <c r="G13" s="6">
        <f t="shared" si="0"/>
        <v>2</v>
      </c>
    </row>
    <row r="14" spans="1:7" x14ac:dyDescent="0.3">
      <c r="A14" s="3">
        <v>1228</v>
      </c>
      <c r="B14" s="4" t="s">
        <v>43</v>
      </c>
      <c r="C14" s="4" t="s">
        <v>44</v>
      </c>
      <c r="D14" s="4" t="s">
        <v>42</v>
      </c>
      <c r="E14" s="6">
        <v>30</v>
      </c>
      <c r="F14" s="10">
        <v>60</v>
      </c>
      <c r="G14" s="6">
        <f t="shared" si="0"/>
        <v>2</v>
      </c>
    </row>
  </sheetData>
  <pageMargins left="0.86614173228346458" right="0.47244094488188981" top="0.98425196850393704" bottom="0.98425196850393704" header="0.47244094488188981" footer="0.51181102362204722"/>
  <pageSetup paperSize="9" scale="84" orientation="portrait" horizontalDpi="4294967295" verticalDpi="4294967295" r:id="rId1"/>
  <headerFooter>
    <oddHeader>&amp;R&amp;G</oddHeader>
    <oddFooter>&amp;R&amp;R &amp;KA6A6A6Internal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G16"/>
  <sheetViews>
    <sheetView zoomScaleNormal="100" workbookViewId="0">
      <selection activeCell="D25" sqref="D25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2.08203125" bestFit="1" customWidth="1"/>
    <col min="4" max="4" width="49.41406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1227</v>
      </c>
      <c r="B2" s="11" t="s">
        <v>45</v>
      </c>
      <c r="C2" s="12" t="s">
        <v>46</v>
      </c>
      <c r="D2" s="11" t="s">
        <v>47</v>
      </c>
      <c r="E2" s="13">
        <v>25</v>
      </c>
      <c r="F2" s="4">
        <v>0</v>
      </c>
      <c r="G2" s="4">
        <f>F2/E2</f>
        <v>0</v>
      </c>
    </row>
    <row r="3" spans="1:7" x14ac:dyDescent="0.3">
      <c r="A3" s="8">
        <v>1227</v>
      </c>
      <c r="B3" s="4" t="s">
        <v>48</v>
      </c>
      <c r="C3" s="4" t="s">
        <v>49</v>
      </c>
      <c r="D3" s="9" t="s">
        <v>50</v>
      </c>
      <c r="E3" s="7">
        <v>30</v>
      </c>
      <c r="F3" s="14">
        <v>90</v>
      </c>
      <c r="G3" s="4">
        <f t="shared" ref="G3:G16" si="0">F3/E3</f>
        <v>3</v>
      </c>
    </row>
    <row r="4" spans="1:7" x14ac:dyDescent="0.3">
      <c r="A4" s="8">
        <v>1227</v>
      </c>
      <c r="B4" s="15" t="s">
        <v>51</v>
      </c>
      <c r="C4" s="15" t="s">
        <v>52</v>
      </c>
      <c r="D4" s="16" t="s">
        <v>53</v>
      </c>
      <c r="E4" s="7">
        <v>66</v>
      </c>
      <c r="F4" s="4">
        <v>0</v>
      </c>
      <c r="G4" s="4">
        <f t="shared" si="0"/>
        <v>0</v>
      </c>
    </row>
    <row r="5" spans="1:7" x14ac:dyDescent="0.3">
      <c r="A5" s="8">
        <v>1227</v>
      </c>
      <c r="B5" s="15" t="s">
        <v>54</v>
      </c>
      <c r="C5" s="15" t="s">
        <v>55</v>
      </c>
      <c r="D5" s="16" t="s">
        <v>56</v>
      </c>
      <c r="E5" s="17">
        <v>30</v>
      </c>
      <c r="F5" s="14">
        <v>90</v>
      </c>
      <c r="G5" s="4">
        <f t="shared" si="0"/>
        <v>3</v>
      </c>
    </row>
    <row r="6" spans="1:7" x14ac:dyDescent="0.3">
      <c r="A6" s="8">
        <v>1227</v>
      </c>
      <c r="B6" s="4" t="s">
        <v>57</v>
      </c>
      <c r="C6" s="4" t="s">
        <v>58</v>
      </c>
      <c r="D6" s="9" t="s">
        <v>59</v>
      </c>
      <c r="E6" s="6">
        <v>30</v>
      </c>
      <c r="F6" s="14">
        <v>300</v>
      </c>
      <c r="G6" s="4">
        <f t="shared" si="0"/>
        <v>10</v>
      </c>
    </row>
    <row r="7" spans="1:7" x14ac:dyDescent="0.3">
      <c r="A7" s="8">
        <v>1227</v>
      </c>
      <c r="B7" s="8" t="s">
        <v>60</v>
      </c>
      <c r="C7" s="4" t="s">
        <v>61</v>
      </c>
      <c r="D7" s="9" t="s">
        <v>62</v>
      </c>
      <c r="E7" s="6">
        <v>30</v>
      </c>
      <c r="F7" s="14">
        <v>300</v>
      </c>
      <c r="G7" s="4">
        <f t="shared" si="0"/>
        <v>10</v>
      </c>
    </row>
    <row r="8" spans="1:7" x14ac:dyDescent="0.3">
      <c r="A8" s="8">
        <v>1227</v>
      </c>
      <c r="B8" s="4" t="s">
        <v>63</v>
      </c>
      <c r="C8" s="4" t="s">
        <v>64</v>
      </c>
      <c r="D8" s="4" t="s">
        <v>65</v>
      </c>
      <c r="E8" s="6">
        <v>33</v>
      </c>
      <c r="F8" s="14">
        <v>33</v>
      </c>
      <c r="G8" s="4">
        <f t="shared" si="0"/>
        <v>1</v>
      </c>
    </row>
    <row r="9" spans="1:7" x14ac:dyDescent="0.3">
      <c r="A9" s="8">
        <v>1227</v>
      </c>
      <c r="B9" s="4" t="s">
        <v>66</v>
      </c>
      <c r="C9" s="4" t="s">
        <v>67</v>
      </c>
      <c r="D9" s="4" t="s">
        <v>68</v>
      </c>
      <c r="E9" s="6">
        <v>33</v>
      </c>
      <c r="F9" s="14">
        <v>99</v>
      </c>
      <c r="G9" s="4">
        <f t="shared" si="0"/>
        <v>3</v>
      </c>
    </row>
    <row r="10" spans="1:7" x14ac:dyDescent="0.3">
      <c r="A10" s="8">
        <v>1227</v>
      </c>
      <c r="B10" s="4" t="s">
        <v>69</v>
      </c>
      <c r="C10" s="4" t="s">
        <v>70</v>
      </c>
      <c r="D10" s="4" t="s">
        <v>71</v>
      </c>
      <c r="E10" s="6">
        <v>33</v>
      </c>
      <c r="F10" s="4">
        <v>0</v>
      </c>
      <c r="G10" s="4">
        <f t="shared" si="0"/>
        <v>0</v>
      </c>
    </row>
    <row r="11" spans="1:7" x14ac:dyDescent="0.3">
      <c r="A11" s="8">
        <v>1227</v>
      </c>
      <c r="B11" s="4" t="s">
        <v>72</v>
      </c>
      <c r="C11" s="4" t="s">
        <v>73</v>
      </c>
      <c r="D11" s="9" t="s">
        <v>74</v>
      </c>
      <c r="E11" s="18">
        <v>30</v>
      </c>
      <c r="F11" s="14">
        <v>240</v>
      </c>
      <c r="G11" s="4">
        <f t="shared" si="0"/>
        <v>8</v>
      </c>
    </row>
    <row r="12" spans="1:7" x14ac:dyDescent="0.3">
      <c r="A12" s="8">
        <v>1227</v>
      </c>
      <c r="B12" s="4" t="s">
        <v>75</v>
      </c>
      <c r="C12" s="4" t="s">
        <v>76</v>
      </c>
      <c r="D12" s="9" t="s">
        <v>77</v>
      </c>
      <c r="E12" s="18">
        <v>30</v>
      </c>
      <c r="F12" s="14">
        <v>240</v>
      </c>
      <c r="G12" s="4">
        <f t="shared" si="0"/>
        <v>8</v>
      </c>
    </row>
    <row r="13" spans="1:7" x14ac:dyDescent="0.3">
      <c r="A13" s="8">
        <v>1227</v>
      </c>
      <c r="B13" s="4" t="s">
        <v>78</v>
      </c>
      <c r="C13" s="4" t="s">
        <v>79</v>
      </c>
      <c r="D13" s="9" t="s">
        <v>80</v>
      </c>
      <c r="E13" s="18">
        <v>33</v>
      </c>
      <c r="F13" s="14">
        <v>528</v>
      </c>
      <c r="G13" s="4">
        <f t="shared" si="0"/>
        <v>16</v>
      </c>
    </row>
    <row r="14" spans="1:7" x14ac:dyDescent="0.3">
      <c r="A14" s="8">
        <v>1227</v>
      </c>
      <c r="B14" s="4" t="s">
        <v>81</v>
      </c>
      <c r="C14" s="4" t="s">
        <v>82</v>
      </c>
      <c r="D14" s="9" t="s">
        <v>83</v>
      </c>
      <c r="E14" s="18">
        <v>33</v>
      </c>
      <c r="F14" s="14">
        <v>528</v>
      </c>
      <c r="G14" s="4">
        <f t="shared" si="0"/>
        <v>16</v>
      </c>
    </row>
    <row r="15" spans="1:7" x14ac:dyDescent="0.3">
      <c r="A15" s="8">
        <v>1227</v>
      </c>
      <c r="B15" s="4" t="s">
        <v>84</v>
      </c>
      <c r="C15" s="4" t="s">
        <v>46</v>
      </c>
      <c r="D15" s="5" t="s">
        <v>85</v>
      </c>
      <c r="E15" s="19">
        <v>25</v>
      </c>
      <c r="F15" s="14">
        <v>50</v>
      </c>
      <c r="G15" s="4">
        <f t="shared" si="0"/>
        <v>2</v>
      </c>
    </row>
    <row r="16" spans="1:7" x14ac:dyDescent="0.3">
      <c r="A16" s="8">
        <v>1227</v>
      </c>
      <c r="B16" s="15" t="s">
        <v>86</v>
      </c>
      <c r="C16" s="15" t="s">
        <v>87</v>
      </c>
      <c r="D16" s="16" t="s">
        <v>88</v>
      </c>
      <c r="E16" s="19">
        <v>25</v>
      </c>
      <c r="F16" s="4">
        <v>0</v>
      </c>
      <c r="G16" s="4">
        <f t="shared" si="0"/>
        <v>0</v>
      </c>
    </row>
  </sheetData>
  <conditionalFormatting sqref="F2:G16">
    <cfRule type="cellIs" dxfId="3" priority="1" operator="lessThan">
      <formula>0</formula>
    </cfRule>
  </conditionalFormatting>
  <pageMargins left="0.86614173228346458" right="0.47244094488188981" top="0.98425196850393704" bottom="0.98425196850393704" header="0.47244094488188981" footer="0.51181102362204722"/>
  <pageSetup paperSize="9" scale="77" orientation="portrait" horizontalDpi="4294967295" verticalDpi="4294967295" r:id="rId1"/>
  <headerFooter>
    <oddHeader>&amp;R&amp;G</oddHeader>
    <oddFooter>&amp;R&amp;R &amp;KA6A6A6Internal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6545-53CB-477A-9BB2-3286004C4815}">
  <dimension ref="A1:G4"/>
  <sheetViews>
    <sheetView workbookViewId="0">
      <selection sqref="A1:XFD1048576"/>
    </sheetView>
  </sheetViews>
  <sheetFormatPr defaultRowHeight="14" x14ac:dyDescent="0.3"/>
  <cols>
    <col min="1" max="1" width="15" bestFit="1" customWidth="1"/>
    <col min="2" max="2" width="16.6640625" bestFit="1" customWidth="1"/>
    <col min="3" max="3" width="11.83203125" bestFit="1" customWidth="1"/>
    <col min="4" max="4" width="31.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1647</v>
      </c>
      <c r="B2" s="4" t="s">
        <v>89</v>
      </c>
      <c r="C2" s="4" t="s">
        <v>90</v>
      </c>
      <c r="D2" s="9" t="s">
        <v>91</v>
      </c>
      <c r="E2" s="6">
        <v>24</v>
      </c>
      <c r="F2" s="14">
        <v>1224</v>
      </c>
      <c r="G2" s="4">
        <f>F2/E2</f>
        <v>51</v>
      </c>
    </row>
    <row r="3" spans="1:7" x14ac:dyDescent="0.3">
      <c r="A3" s="8">
        <v>1647</v>
      </c>
      <c r="B3" s="4" t="s">
        <v>92</v>
      </c>
      <c r="C3" s="4" t="s">
        <v>93</v>
      </c>
      <c r="D3" s="9" t="s">
        <v>94</v>
      </c>
      <c r="E3" s="6">
        <v>20</v>
      </c>
      <c r="F3" s="14">
        <v>760</v>
      </c>
      <c r="G3" s="4">
        <f t="shared" ref="G3:G4" si="0">F3/E3</f>
        <v>38</v>
      </c>
    </row>
    <row r="4" spans="1:7" x14ac:dyDescent="0.3">
      <c r="A4" s="8">
        <v>1647</v>
      </c>
      <c r="B4" s="4" t="s">
        <v>95</v>
      </c>
      <c r="C4" s="4" t="s">
        <v>96</v>
      </c>
      <c r="D4" s="9" t="s">
        <v>97</v>
      </c>
      <c r="E4" s="6">
        <v>20</v>
      </c>
      <c r="F4" s="14">
        <v>260</v>
      </c>
      <c r="G4" s="4">
        <f t="shared" si="0"/>
        <v>13</v>
      </c>
    </row>
  </sheetData>
  <conditionalFormatting sqref="F2:G4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"/>
  <sheetViews>
    <sheetView zoomScaleNormal="100" workbookViewId="0">
      <selection activeCell="I20" sqref="I20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1.83203125" bestFit="1" customWidth="1"/>
    <col min="4" max="4" width="12.66406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1223</v>
      </c>
      <c r="B2" s="4" t="s">
        <v>98</v>
      </c>
      <c r="C2" s="4" t="s">
        <v>99</v>
      </c>
      <c r="D2" s="9" t="s">
        <v>100</v>
      </c>
      <c r="E2" s="6">
        <v>30</v>
      </c>
      <c r="F2" s="14">
        <v>360</v>
      </c>
      <c r="G2" s="12">
        <f>F2/E2</f>
        <v>12</v>
      </c>
    </row>
    <row r="3" spans="1:7" x14ac:dyDescent="0.3">
      <c r="A3" s="8">
        <v>1223</v>
      </c>
      <c r="B3" s="12" t="s">
        <v>101</v>
      </c>
      <c r="C3" s="12" t="s">
        <v>102</v>
      </c>
      <c r="D3" s="5" t="s">
        <v>103</v>
      </c>
      <c r="E3" s="6">
        <v>30</v>
      </c>
      <c r="F3" s="14">
        <v>360</v>
      </c>
      <c r="G3" s="12">
        <f t="shared" ref="G3:G5" si="0">F3/E3</f>
        <v>12</v>
      </c>
    </row>
    <row r="4" spans="1:7" x14ac:dyDescent="0.3">
      <c r="A4" s="8">
        <v>1223</v>
      </c>
      <c r="B4" s="4" t="s">
        <v>104</v>
      </c>
      <c r="C4" s="4" t="s">
        <v>105</v>
      </c>
      <c r="D4" s="9" t="s">
        <v>106</v>
      </c>
      <c r="E4" s="6">
        <v>6</v>
      </c>
      <c r="F4" s="14">
        <f>67*6</f>
        <v>402</v>
      </c>
      <c r="G4" s="12">
        <f t="shared" si="0"/>
        <v>67</v>
      </c>
    </row>
    <row r="5" spans="1:7" x14ac:dyDescent="0.3">
      <c r="A5" s="8">
        <v>1223</v>
      </c>
      <c r="B5" s="12" t="s">
        <v>107</v>
      </c>
      <c r="C5" s="12" t="s">
        <v>108</v>
      </c>
      <c r="D5" s="9" t="s">
        <v>109</v>
      </c>
      <c r="E5" s="6">
        <v>6</v>
      </c>
      <c r="F5" s="14">
        <v>402</v>
      </c>
      <c r="G5" s="12">
        <f t="shared" si="0"/>
        <v>67</v>
      </c>
    </row>
  </sheetData>
  <conditionalFormatting sqref="F2:G5">
    <cfRule type="cellIs" dxfId="1" priority="1" operator="lessThan">
      <formula>0</formula>
    </cfRule>
  </conditionalFormatting>
  <pageMargins left="0.86614173228346458" right="0.47244094488188981" top="0.98425196850393704" bottom="0.98425196850393704" header="0.47244094488188981" footer="0.51181102362204722"/>
  <pageSetup paperSize="9" orientation="portrait" horizontalDpi="4294967295" verticalDpi="4294967295" r:id="rId1"/>
  <headerFooter>
    <oddHeader>&amp;R&amp;G</oddHeader>
    <oddFooter>&amp;R&amp;R &amp;KA6A6A6Internal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DF06-DF64-4467-814C-CBCCF2E121D0}">
  <dimension ref="A1:G5"/>
  <sheetViews>
    <sheetView workbookViewId="0">
      <selection activeCell="H27" sqref="H27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1.83203125" bestFit="1" customWidth="1"/>
    <col min="4" max="4" width="26.66406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1222</v>
      </c>
      <c r="B2" s="4" t="s">
        <v>98</v>
      </c>
      <c r="C2" s="4" t="s">
        <v>99</v>
      </c>
      <c r="D2" s="9" t="s">
        <v>100</v>
      </c>
      <c r="E2" s="6">
        <v>30</v>
      </c>
      <c r="F2" s="4">
        <v>1200</v>
      </c>
      <c r="G2" s="4">
        <f>F2/E2</f>
        <v>40</v>
      </c>
    </row>
    <row r="3" spans="1:7" x14ac:dyDescent="0.3">
      <c r="A3" s="8">
        <v>1222</v>
      </c>
      <c r="B3" s="12" t="s">
        <v>101</v>
      </c>
      <c r="C3" s="12" t="s">
        <v>102</v>
      </c>
      <c r="D3" s="5" t="s">
        <v>103</v>
      </c>
      <c r="E3" s="6">
        <v>30</v>
      </c>
      <c r="F3" s="4">
        <v>1200</v>
      </c>
      <c r="G3" s="4">
        <f t="shared" ref="G3:G5" si="0">F3/E3</f>
        <v>40</v>
      </c>
    </row>
    <row r="4" spans="1:7" x14ac:dyDescent="0.3">
      <c r="A4" s="8">
        <v>1222</v>
      </c>
      <c r="B4" s="12" t="s">
        <v>110</v>
      </c>
      <c r="C4" s="12" t="s">
        <v>61</v>
      </c>
      <c r="D4" s="5" t="s">
        <v>111</v>
      </c>
      <c r="E4" s="12">
        <v>30</v>
      </c>
      <c r="F4" s="4">
        <v>600</v>
      </c>
      <c r="G4" s="4">
        <f t="shared" si="0"/>
        <v>20</v>
      </c>
    </row>
    <row r="5" spans="1:7" x14ac:dyDescent="0.3">
      <c r="A5" s="8">
        <v>1222</v>
      </c>
      <c r="B5" s="12" t="s">
        <v>112</v>
      </c>
      <c r="C5" s="12" t="s">
        <v>58</v>
      </c>
      <c r="D5" s="5" t="s">
        <v>113</v>
      </c>
      <c r="E5" s="12">
        <v>30</v>
      </c>
      <c r="F5" s="4">
        <v>600</v>
      </c>
      <c r="G5" s="4">
        <f t="shared" si="0"/>
        <v>20</v>
      </c>
    </row>
  </sheetData>
  <conditionalFormatting sqref="F2:G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25DD-EBDA-4902-9716-D288E4CFB6F1}">
  <dimension ref="A1:G3"/>
  <sheetViews>
    <sheetView workbookViewId="0">
      <selection activeCell="A2" sqref="A2:XFD2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1.83203125" bestFit="1" customWidth="1"/>
    <col min="4" max="4" width="13.832031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1643</v>
      </c>
      <c r="B2" s="4" t="s">
        <v>104</v>
      </c>
      <c r="C2" s="4" t="s">
        <v>105</v>
      </c>
      <c r="D2" s="9" t="s">
        <v>114</v>
      </c>
      <c r="E2" s="6">
        <v>6</v>
      </c>
      <c r="F2" s="6">
        <v>720</v>
      </c>
      <c r="G2" s="6">
        <f>F2/E2</f>
        <v>120</v>
      </c>
    </row>
    <row r="3" spans="1:7" x14ac:dyDescent="0.3">
      <c r="A3" s="8">
        <v>1643</v>
      </c>
      <c r="B3" s="12" t="s">
        <v>107</v>
      </c>
      <c r="C3" s="12" t="s">
        <v>108</v>
      </c>
      <c r="D3" s="9" t="s">
        <v>115</v>
      </c>
      <c r="E3" s="6">
        <v>6</v>
      </c>
      <c r="F3" s="6">
        <v>720</v>
      </c>
      <c r="G3" s="6">
        <f>F3/E3</f>
        <v>120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D85D-B4EE-4EE5-8884-3592795BCD65}">
  <sheetPr>
    <tabColor rgb="FF00B050"/>
  </sheetPr>
  <dimension ref="A1:G4"/>
  <sheetViews>
    <sheetView workbookViewId="0">
      <selection activeCell="A2" sqref="A2:XFD2"/>
    </sheetView>
  </sheetViews>
  <sheetFormatPr defaultRowHeight="14" x14ac:dyDescent="0.3"/>
  <cols>
    <col min="1" max="1" width="15" bestFit="1" customWidth="1"/>
    <col min="2" max="2" width="12.83203125" bestFit="1" customWidth="1"/>
    <col min="3" max="3" width="15.33203125" customWidth="1"/>
    <col min="4" max="4" width="20.91406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1346</v>
      </c>
      <c r="B2" s="4" t="s">
        <v>116</v>
      </c>
      <c r="C2" s="4" t="s">
        <v>119</v>
      </c>
      <c r="D2" s="9" t="s">
        <v>120</v>
      </c>
      <c r="E2" s="6">
        <v>4</v>
      </c>
      <c r="F2" s="6">
        <v>84</v>
      </c>
      <c r="G2" s="6">
        <f>F2/E2</f>
        <v>21</v>
      </c>
    </row>
    <row r="3" spans="1:7" x14ac:dyDescent="0.3">
      <c r="A3" s="8">
        <v>1346</v>
      </c>
      <c r="B3" s="4" t="s">
        <v>118</v>
      </c>
      <c r="C3" s="4" t="s">
        <v>121</v>
      </c>
      <c r="D3" s="9" t="s">
        <v>122</v>
      </c>
      <c r="E3" s="6">
        <v>4</v>
      </c>
      <c r="F3" s="6">
        <v>24</v>
      </c>
      <c r="G3" s="6">
        <f t="shared" ref="G3:G4" si="0">F3/E3</f>
        <v>6</v>
      </c>
    </row>
    <row r="4" spans="1:7" x14ac:dyDescent="0.3">
      <c r="A4" s="8">
        <v>1346</v>
      </c>
      <c r="B4" s="4" t="s">
        <v>117</v>
      </c>
      <c r="C4" s="4" t="s">
        <v>123</v>
      </c>
      <c r="D4" s="9" t="s">
        <v>124</v>
      </c>
      <c r="E4" s="6">
        <v>4</v>
      </c>
      <c r="F4" s="6">
        <v>140</v>
      </c>
      <c r="G4" s="6">
        <f t="shared" si="0"/>
        <v>35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11C4-92EE-45F0-B676-C38E153A1022}">
  <sheetPr>
    <tabColor rgb="FF00B050"/>
  </sheetPr>
  <dimension ref="A1:G8"/>
  <sheetViews>
    <sheetView workbookViewId="0">
      <selection activeCell="A2" sqref="A2:XFD2"/>
    </sheetView>
  </sheetViews>
  <sheetFormatPr defaultRowHeight="14" x14ac:dyDescent="0.3"/>
  <cols>
    <col min="1" max="1" width="15" bestFit="1" customWidth="1"/>
    <col min="2" max="2" width="20.58203125" customWidth="1"/>
    <col min="3" max="3" width="15.33203125" customWidth="1"/>
    <col min="4" max="4" width="28.082031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1502</v>
      </c>
      <c r="B2" s="4" t="s">
        <v>125</v>
      </c>
      <c r="C2" s="4" t="s">
        <v>132</v>
      </c>
      <c r="D2" s="9" t="s">
        <v>139</v>
      </c>
      <c r="E2" s="6">
        <v>33</v>
      </c>
      <c r="F2" s="6">
        <v>33</v>
      </c>
      <c r="G2" s="6">
        <f>F2/E2</f>
        <v>1</v>
      </c>
    </row>
    <row r="3" spans="1:7" x14ac:dyDescent="0.3">
      <c r="A3" s="8">
        <v>1502</v>
      </c>
      <c r="B3" s="4" t="s">
        <v>126</v>
      </c>
      <c r="C3" s="4" t="s">
        <v>133</v>
      </c>
      <c r="D3" s="9" t="s">
        <v>140</v>
      </c>
      <c r="E3" s="6">
        <v>33</v>
      </c>
      <c r="F3" s="6">
        <v>99</v>
      </c>
      <c r="G3" s="6">
        <f t="shared" ref="G3:G8" si="0">F3/E3</f>
        <v>3</v>
      </c>
    </row>
    <row r="4" spans="1:7" x14ac:dyDescent="0.3">
      <c r="A4" s="8">
        <v>1502</v>
      </c>
      <c r="B4" s="4" t="s">
        <v>127</v>
      </c>
      <c r="C4" s="4" t="s">
        <v>134</v>
      </c>
      <c r="D4" s="9" t="s">
        <v>140</v>
      </c>
      <c r="E4" s="6">
        <v>33</v>
      </c>
      <c r="F4" s="6">
        <v>33</v>
      </c>
      <c r="G4" s="6">
        <f t="shared" si="0"/>
        <v>1</v>
      </c>
    </row>
    <row r="5" spans="1:7" x14ac:dyDescent="0.3">
      <c r="A5" s="8">
        <v>1502</v>
      </c>
      <c r="B5" s="4" t="s">
        <v>128</v>
      </c>
      <c r="C5" s="4" t="s">
        <v>135</v>
      </c>
      <c r="D5" s="9" t="s">
        <v>141</v>
      </c>
      <c r="E5" s="6">
        <v>33</v>
      </c>
      <c r="F5" s="6">
        <v>99</v>
      </c>
      <c r="G5" s="6">
        <f t="shared" si="0"/>
        <v>3</v>
      </c>
    </row>
    <row r="6" spans="1:7" x14ac:dyDescent="0.3">
      <c r="A6" s="8">
        <v>1502</v>
      </c>
      <c r="B6" s="4" t="s">
        <v>129</v>
      </c>
      <c r="C6" s="4" t="s">
        <v>136</v>
      </c>
      <c r="D6" s="9" t="s">
        <v>141</v>
      </c>
      <c r="E6" s="6">
        <v>33</v>
      </c>
      <c r="F6" s="6">
        <v>66</v>
      </c>
      <c r="G6" s="6">
        <f t="shared" si="0"/>
        <v>2</v>
      </c>
    </row>
    <row r="7" spans="1:7" x14ac:dyDescent="0.3">
      <c r="A7" s="8">
        <v>1502</v>
      </c>
      <c r="B7" s="4" t="s">
        <v>130</v>
      </c>
      <c r="C7" s="4" t="s">
        <v>137</v>
      </c>
      <c r="D7" s="9" t="s">
        <v>141</v>
      </c>
      <c r="E7" s="6">
        <v>33</v>
      </c>
      <c r="F7" s="6">
        <v>33</v>
      </c>
      <c r="G7" s="6">
        <f t="shared" si="0"/>
        <v>1</v>
      </c>
    </row>
    <row r="8" spans="1:7" x14ac:dyDescent="0.3">
      <c r="A8" s="8">
        <v>1502</v>
      </c>
      <c r="B8" s="4" t="s">
        <v>131</v>
      </c>
      <c r="C8" s="4" t="s">
        <v>138</v>
      </c>
      <c r="D8" s="9" t="s">
        <v>141</v>
      </c>
      <c r="E8" s="6">
        <v>33</v>
      </c>
      <c r="F8" s="6">
        <v>33</v>
      </c>
      <c r="G8" s="6">
        <f t="shared" si="0"/>
        <v>1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C65E-0DA7-4022-A9C2-5FBAFA2DAD8F}">
  <dimension ref="A1:G2"/>
  <sheetViews>
    <sheetView workbookViewId="0"/>
  </sheetViews>
  <sheetFormatPr defaultRowHeight="14" x14ac:dyDescent="0.3"/>
  <cols>
    <col min="1" max="1" width="15" bestFit="1" customWidth="1"/>
    <col min="2" max="2" width="14.6640625" bestFit="1" customWidth="1"/>
    <col min="3" max="3" width="12.33203125" bestFit="1" customWidth="1"/>
    <col min="4" max="4" width="25.332031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1244</v>
      </c>
      <c r="B2" s="4" t="s">
        <v>143</v>
      </c>
      <c r="C2" s="4" t="s">
        <v>142</v>
      </c>
      <c r="D2" s="9" t="s">
        <v>144</v>
      </c>
      <c r="E2" s="6">
        <v>4</v>
      </c>
      <c r="F2" s="6">
        <v>100</v>
      </c>
      <c r="G2" s="6">
        <f>F2/E2</f>
        <v>25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98A0-B8D4-49D2-B27E-14AC6718C889}">
  <sheetPr>
    <tabColor rgb="FF00B050"/>
  </sheetPr>
  <dimension ref="A1:G7"/>
  <sheetViews>
    <sheetView workbookViewId="0">
      <selection activeCell="A2" sqref="A2:A7"/>
    </sheetView>
  </sheetViews>
  <sheetFormatPr defaultRowHeight="14" x14ac:dyDescent="0.3"/>
  <cols>
    <col min="1" max="1" width="15" bestFit="1" customWidth="1"/>
    <col min="2" max="2" width="20.6640625" bestFit="1" customWidth="1"/>
    <col min="3" max="3" width="12.4140625" bestFit="1" customWidth="1"/>
    <col min="4" max="4" width="27.33203125" bestFit="1" customWidth="1"/>
    <col min="5" max="5" width="5.1640625" bestFit="1" customWidth="1"/>
    <col min="6" max="6" width="6.4140625" bestFit="1" customWidth="1"/>
    <col min="7" max="7" width="4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1193</v>
      </c>
      <c r="B2" s="4" t="s">
        <v>146</v>
      </c>
      <c r="C2" s="4" t="s">
        <v>145</v>
      </c>
      <c r="D2" s="9" t="s">
        <v>147</v>
      </c>
      <c r="E2" s="6"/>
      <c r="F2" s="6"/>
      <c r="G2" s="6"/>
    </row>
    <row r="3" spans="1:7" x14ac:dyDescent="0.3">
      <c r="A3" s="8">
        <v>1193</v>
      </c>
      <c r="B3" s="4" t="s">
        <v>149</v>
      </c>
      <c r="C3" s="4" t="s">
        <v>148</v>
      </c>
      <c r="D3" s="9" t="s">
        <v>147</v>
      </c>
      <c r="E3" s="6"/>
      <c r="F3" s="6"/>
      <c r="G3" s="6"/>
    </row>
    <row r="4" spans="1:7" x14ac:dyDescent="0.3">
      <c r="A4" s="8">
        <v>1193</v>
      </c>
      <c r="B4" s="4" t="s">
        <v>150</v>
      </c>
      <c r="C4" s="4" t="s">
        <v>151</v>
      </c>
      <c r="D4" s="9" t="s">
        <v>152</v>
      </c>
      <c r="E4" s="6"/>
      <c r="F4" s="6"/>
      <c r="G4" s="6"/>
    </row>
    <row r="5" spans="1:7" x14ac:dyDescent="0.3">
      <c r="A5" s="8">
        <v>1193</v>
      </c>
      <c r="B5" s="4" t="s">
        <v>153</v>
      </c>
      <c r="C5" s="4" t="s">
        <v>154</v>
      </c>
      <c r="D5" s="9" t="s">
        <v>155</v>
      </c>
      <c r="E5" s="6"/>
      <c r="F5" s="6"/>
      <c r="G5" s="6"/>
    </row>
    <row r="6" spans="1:7" x14ac:dyDescent="0.3">
      <c r="A6" s="8">
        <v>1193</v>
      </c>
      <c r="B6" s="4" t="s">
        <v>156</v>
      </c>
      <c r="C6" s="4" t="s">
        <v>157</v>
      </c>
      <c r="D6" s="9" t="s">
        <v>158</v>
      </c>
      <c r="E6" s="6"/>
      <c r="F6" s="6"/>
      <c r="G6" s="6"/>
    </row>
    <row r="7" spans="1:7" x14ac:dyDescent="0.3">
      <c r="A7" s="8">
        <v>1193</v>
      </c>
      <c r="B7" s="4" t="s">
        <v>159</v>
      </c>
      <c r="C7" s="4" t="s">
        <v>160</v>
      </c>
      <c r="D7" s="9" t="s">
        <v>161</v>
      </c>
      <c r="E7" s="6"/>
      <c r="F7" s="6"/>
      <c r="G7" s="6"/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532F-1953-479E-9B90-6EFE0A3552B7}">
  <sheetPr>
    <tabColor rgb="FF00B050"/>
  </sheetPr>
  <dimension ref="A1:M38"/>
  <sheetViews>
    <sheetView workbookViewId="0"/>
  </sheetViews>
  <sheetFormatPr defaultRowHeight="14" x14ac:dyDescent="0.3"/>
  <cols>
    <col min="1" max="1" width="15.08203125" bestFit="1" customWidth="1"/>
    <col min="2" max="2" width="19.4140625" bestFit="1" customWidth="1"/>
    <col min="3" max="3" width="19.58203125" bestFit="1" customWidth="1"/>
    <col min="4" max="4" width="13.1640625" bestFit="1" customWidth="1"/>
    <col min="5" max="5" width="36.33203125" bestFit="1" customWidth="1"/>
    <col min="6" max="6" width="10.5" bestFit="1" customWidth="1"/>
    <col min="7" max="7" width="8.33203125" bestFit="1" customWidth="1"/>
    <col min="8" max="8" width="7.5" bestFit="1" customWidth="1"/>
    <col min="9" max="9" width="7.4140625" bestFit="1" customWidth="1"/>
    <col min="10" max="12" width="8.5" bestFit="1" customWidth="1"/>
    <col min="13" max="13" width="8" bestFit="1" customWidth="1"/>
  </cols>
  <sheetData>
    <row r="1" spans="1:13" ht="54.5" thickBot="1" x14ac:dyDescent="0.35">
      <c r="A1" s="1" t="s">
        <v>0</v>
      </c>
      <c r="B1" s="20" t="s">
        <v>162</v>
      </c>
      <c r="C1" s="20" t="s">
        <v>163</v>
      </c>
      <c r="D1" s="20" t="s">
        <v>164</v>
      </c>
      <c r="E1" s="20" t="s">
        <v>165</v>
      </c>
      <c r="F1" s="20" t="s">
        <v>166</v>
      </c>
      <c r="G1" s="20" t="s">
        <v>167</v>
      </c>
      <c r="H1" s="20" t="s">
        <v>168</v>
      </c>
      <c r="I1" s="20" t="s">
        <v>169</v>
      </c>
      <c r="J1" s="20" t="s">
        <v>170</v>
      </c>
      <c r="K1" s="20" t="s">
        <v>171</v>
      </c>
      <c r="L1" s="20" t="s">
        <v>172</v>
      </c>
      <c r="M1" s="20" t="s">
        <v>173</v>
      </c>
    </row>
    <row r="2" spans="1:13" ht="14.5" thickBot="1" x14ac:dyDescent="0.35">
      <c r="A2">
        <v>1640</v>
      </c>
      <c r="B2" s="21" t="s">
        <v>174</v>
      </c>
      <c r="C2" s="21" t="s">
        <v>175</v>
      </c>
      <c r="D2" s="21" t="str">
        <f>+VLOOKUP(C2,[1]Data!$B:$C,2,0)</f>
        <v>655421600A</v>
      </c>
      <c r="E2" s="21" t="s">
        <v>176</v>
      </c>
      <c r="F2" s="22">
        <v>45944</v>
      </c>
      <c r="G2" s="23">
        <v>0.36805555555555558</v>
      </c>
      <c r="H2" s="21" t="s">
        <v>177</v>
      </c>
      <c r="I2" s="21" t="s">
        <v>178</v>
      </c>
      <c r="J2" s="21">
        <v>63</v>
      </c>
      <c r="K2" s="21">
        <v>63</v>
      </c>
      <c r="L2" s="24"/>
      <c r="M2" s="21" t="s">
        <v>179</v>
      </c>
    </row>
    <row r="3" spans="1:13" ht="14.5" thickBot="1" x14ac:dyDescent="0.35">
      <c r="A3">
        <v>1640</v>
      </c>
      <c r="B3" s="21" t="s">
        <v>180</v>
      </c>
      <c r="C3" s="21" t="s">
        <v>175</v>
      </c>
      <c r="D3" s="21" t="str">
        <f>+VLOOKUP(C3,[1]Data!$B:$C,2,0)</f>
        <v>655421600A</v>
      </c>
      <c r="E3" s="21" t="s">
        <v>176</v>
      </c>
      <c r="F3" s="22">
        <v>45944</v>
      </c>
      <c r="G3" s="23">
        <v>0.57638888888888884</v>
      </c>
      <c r="H3" s="21" t="s">
        <v>177</v>
      </c>
      <c r="I3" s="21" t="s">
        <v>178</v>
      </c>
      <c r="J3" s="21">
        <v>36</v>
      </c>
      <c r="K3" s="21">
        <v>36</v>
      </c>
      <c r="L3" s="24"/>
      <c r="M3" s="21" t="s">
        <v>179</v>
      </c>
    </row>
    <row r="4" spans="1:13" ht="14.5" thickBot="1" x14ac:dyDescent="0.35">
      <c r="A4">
        <v>1640</v>
      </c>
      <c r="B4" s="21" t="s">
        <v>181</v>
      </c>
      <c r="C4" s="21" t="s">
        <v>175</v>
      </c>
      <c r="D4" s="21" t="str">
        <f>+VLOOKUP(C4,[1]Data!$B:$C,2,0)</f>
        <v>655421600A</v>
      </c>
      <c r="E4" s="21" t="s">
        <v>176</v>
      </c>
      <c r="F4" s="22">
        <v>45944</v>
      </c>
      <c r="G4" s="23">
        <v>0.78472222222222221</v>
      </c>
      <c r="H4" s="21" t="s">
        <v>177</v>
      </c>
      <c r="I4" s="21" t="s">
        <v>178</v>
      </c>
      <c r="J4" s="21">
        <v>45</v>
      </c>
      <c r="K4" s="21">
        <v>45</v>
      </c>
      <c r="L4" s="24"/>
      <c r="M4" s="21" t="s">
        <v>179</v>
      </c>
    </row>
    <row r="5" spans="1:13" ht="14.5" thickBot="1" x14ac:dyDescent="0.35">
      <c r="A5">
        <v>1640</v>
      </c>
      <c r="B5" s="21" t="s">
        <v>182</v>
      </c>
      <c r="C5" s="21" t="s">
        <v>175</v>
      </c>
      <c r="D5" s="21" t="str">
        <f>+VLOOKUP(C5,[1]Data!$B:$C,2,0)</f>
        <v>655421600A</v>
      </c>
      <c r="E5" s="21" t="s">
        <v>176</v>
      </c>
      <c r="F5" s="22">
        <v>45944</v>
      </c>
      <c r="G5" s="23">
        <v>0.78472222222222221</v>
      </c>
      <c r="H5" s="21" t="s">
        <v>177</v>
      </c>
      <c r="I5" s="21" t="s">
        <v>178</v>
      </c>
      <c r="J5" s="21">
        <v>27</v>
      </c>
      <c r="K5" s="21">
        <v>27</v>
      </c>
      <c r="L5" s="24"/>
      <c r="M5" s="21" t="s">
        <v>179</v>
      </c>
    </row>
    <row r="6" spans="1:13" ht="14.5" thickBot="1" x14ac:dyDescent="0.35">
      <c r="A6">
        <v>1640</v>
      </c>
      <c r="B6" s="21" t="s">
        <v>183</v>
      </c>
      <c r="C6" s="21" t="s">
        <v>184</v>
      </c>
      <c r="D6" s="21" t="str">
        <f>+VLOOKUP(C6,[1]Data!$B:$C,2,0)</f>
        <v>655687000F</v>
      </c>
      <c r="E6" s="21" t="s">
        <v>185</v>
      </c>
      <c r="F6" s="22">
        <v>45944</v>
      </c>
      <c r="G6" s="23">
        <v>0.36805555555555558</v>
      </c>
      <c r="H6" s="21" t="s">
        <v>186</v>
      </c>
      <c r="I6" s="21" t="s">
        <v>178</v>
      </c>
      <c r="J6" s="21">
        <v>64</v>
      </c>
      <c r="K6" s="21">
        <v>64</v>
      </c>
      <c r="L6" s="24"/>
      <c r="M6" s="21" t="s">
        <v>179</v>
      </c>
    </row>
    <row r="7" spans="1:13" ht="14.5" thickBot="1" x14ac:dyDescent="0.35">
      <c r="A7">
        <v>1640</v>
      </c>
      <c r="B7" s="21" t="s">
        <v>187</v>
      </c>
      <c r="C7" s="21" t="s">
        <v>184</v>
      </c>
      <c r="D7" s="21" t="str">
        <f>+VLOOKUP(C7,[1]Data!$B:$C,2,0)</f>
        <v>655687000F</v>
      </c>
      <c r="E7" s="21" t="s">
        <v>185</v>
      </c>
      <c r="F7" s="22">
        <v>45944</v>
      </c>
      <c r="G7" s="23">
        <v>0.57638888888888884</v>
      </c>
      <c r="H7" s="21" t="s">
        <v>186</v>
      </c>
      <c r="I7" s="21" t="s">
        <v>178</v>
      </c>
      <c r="J7" s="21">
        <v>32</v>
      </c>
      <c r="K7" s="21">
        <v>32</v>
      </c>
      <c r="L7" s="24"/>
      <c r="M7" s="21" t="s">
        <v>179</v>
      </c>
    </row>
    <row r="8" spans="1:13" ht="14.5" thickBot="1" x14ac:dyDescent="0.35">
      <c r="A8">
        <v>1640</v>
      </c>
      <c r="B8" s="21" t="s">
        <v>188</v>
      </c>
      <c r="C8" s="21" t="s">
        <v>184</v>
      </c>
      <c r="D8" s="21" t="str">
        <f>+VLOOKUP(C8,[1]Data!$B:$C,2,0)</f>
        <v>655687000F</v>
      </c>
      <c r="E8" s="21" t="s">
        <v>185</v>
      </c>
      <c r="F8" s="22">
        <v>45944</v>
      </c>
      <c r="G8" s="23">
        <v>0.78472222222222221</v>
      </c>
      <c r="H8" s="21" t="s">
        <v>186</v>
      </c>
      <c r="I8" s="21" t="s">
        <v>178</v>
      </c>
      <c r="J8" s="21">
        <v>32</v>
      </c>
      <c r="K8" s="21">
        <v>32</v>
      </c>
      <c r="L8" s="24"/>
      <c r="M8" s="21" t="s">
        <v>179</v>
      </c>
    </row>
    <row r="9" spans="1:13" ht="14.5" thickBot="1" x14ac:dyDescent="0.35">
      <c r="A9">
        <v>1640</v>
      </c>
      <c r="B9" s="21" t="s">
        <v>189</v>
      </c>
      <c r="C9" s="21" t="s">
        <v>190</v>
      </c>
      <c r="D9" s="21" t="str">
        <f>+VLOOKUP(C9,[1]Data!$B:$C,2,0)</f>
        <v>656310200C</v>
      </c>
      <c r="E9" s="21" t="s">
        <v>191</v>
      </c>
      <c r="F9" s="22">
        <v>45944</v>
      </c>
      <c r="G9" s="23">
        <v>0.36805555555555558</v>
      </c>
      <c r="H9" s="21" t="s">
        <v>192</v>
      </c>
      <c r="I9" s="21" t="s">
        <v>178</v>
      </c>
      <c r="J9" s="21">
        <v>63</v>
      </c>
      <c r="K9" s="21">
        <v>63</v>
      </c>
      <c r="L9" s="24"/>
      <c r="M9" s="21" t="s">
        <v>179</v>
      </c>
    </row>
    <row r="10" spans="1:13" ht="14.5" thickBot="1" x14ac:dyDescent="0.35">
      <c r="A10">
        <v>1640</v>
      </c>
      <c r="B10" s="21" t="s">
        <v>193</v>
      </c>
      <c r="C10" s="21" t="s">
        <v>190</v>
      </c>
      <c r="D10" s="21" t="str">
        <f>+VLOOKUP(C10,[1]Data!$B:$C,2,0)</f>
        <v>656310200C</v>
      </c>
      <c r="E10" s="21" t="s">
        <v>191</v>
      </c>
      <c r="F10" s="22">
        <v>45944</v>
      </c>
      <c r="G10" s="23">
        <v>0.57638888888888884</v>
      </c>
      <c r="H10" s="21" t="s">
        <v>192</v>
      </c>
      <c r="I10" s="21" t="s">
        <v>178</v>
      </c>
      <c r="J10" s="21">
        <v>30</v>
      </c>
      <c r="K10" s="21">
        <v>30</v>
      </c>
      <c r="L10" s="24"/>
      <c r="M10" s="21" t="s">
        <v>179</v>
      </c>
    </row>
    <row r="11" spans="1:13" ht="14.5" thickBot="1" x14ac:dyDescent="0.35">
      <c r="A11">
        <v>1640</v>
      </c>
      <c r="B11" s="21" t="s">
        <v>194</v>
      </c>
      <c r="C11" s="21" t="s">
        <v>190</v>
      </c>
      <c r="D11" s="21" t="str">
        <f>+VLOOKUP(C11,[1]Data!$B:$C,2,0)</f>
        <v>656310200C</v>
      </c>
      <c r="E11" s="21" t="s">
        <v>191</v>
      </c>
      <c r="F11" s="22">
        <v>45944</v>
      </c>
      <c r="G11" s="23">
        <v>0.78472222222222221</v>
      </c>
      <c r="H11" s="21" t="s">
        <v>192</v>
      </c>
      <c r="I11" s="21" t="s">
        <v>178</v>
      </c>
      <c r="J11" s="21">
        <v>33</v>
      </c>
      <c r="K11" s="21">
        <v>33</v>
      </c>
      <c r="L11" s="24"/>
      <c r="M11" s="21" t="s">
        <v>179</v>
      </c>
    </row>
    <row r="12" spans="1:13" ht="14.5" thickBot="1" x14ac:dyDescent="0.35">
      <c r="A12">
        <v>1640</v>
      </c>
      <c r="B12" s="21" t="s">
        <v>195</v>
      </c>
      <c r="C12" s="21" t="s">
        <v>196</v>
      </c>
      <c r="D12" s="21" t="str">
        <f>+VLOOKUP(C12,[1]Data!$B:$C,2,0)</f>
        <v>656310201C</v>
      </c>
      <c r="E12" s="21" t="s">
        <v>197</v>
      </c>
      <c r="F12" s="22">
        <v>45944</v>
      </c>
      <c r="G12" s="23">
        <v>0.36805555555555558</v>
      </c>
      <c r="H12" s="21" t="s">
        <v>192</v>
      </c>
      <c r="I12" s="21" t="s">
        <v>178</v>
      </c>
      <c r="J12" s="21">
        <v>63</v>
      </c>
      <c r="K12" s="21">
        <v>63</v>
      </c>
      <c r="L12" s="24"/>
      <c r="M12" s="21" t="s">
        <v>179</v>
      </c>
    </row>
    <row r="13" spans="1:13" ht="14.5" thickBot="1" x14ac:dyDescent="0.35">
      <c r="A13">
        <v>1640</v>
      </c>
      <c r="B13" s="21" t="s">
        <v>198</v>
      </c>
      <c r="C13" s="21" t="s">
        <v>196</v>
      </c>
      <c r="D13" s="21" t="str">
        <f>+VLOOKUP(C13,[1]Data!$B:$C,2,0)</f>
        <v>656310201C</v>
      </c>
      <c r="E13" s="21" t="s">
        <v>197</v>
      </c>
      <c r="F13" s="22">
        <v>45944</v>
      </c>
      <c r="G13" s="23">
        <v>0.57638888888888884</v>
      </c>
      <c r="H13" s="21" t="s">
        <v>192</v>
      </c>
      <c r="I13" s="21" t="s">
        <v>178</v>
      </c>
      <c r="J13" s="21">
        <v>30</v>
      </c>
      <c r="K13" s="21">
        <v>30</v>
      </c>
      <c r="L13" s="24"/>
      <c r="M13" s="21" t="s">
        <v>179</v>
      </c>
    </row>
    <row r="14" spans="1:13" ht="14.5" thickBot="1" x14ac:dyDescent="0.35">
      <c r="A14">
        <v>1640</v>
      </c>
      <c r="B14" s="21" t="s">
        <v>199</v>
      </c>
      <c r="C14" s="21" t="s">
        <v>196</v>
      </c>
      <c r="D14" s="21" t="str">
        <f>+VLOOKUP(C14,[1]Data!$B:$C,2,0)</f>
        <v>656310201C</v>
      </c>
      <c r="E14" s="21" t="s">
        <v>197</v>
      </c>
      <c r="F14" s="22">
        <v>45944</v>
      </c>
      <c r="G14" s="23">
        <v>0.78472222222222221</v>
      </c>
      <c r="H14" s="21" t="s">
        <v>192</v>
      </c>
      <c r="I14" s="21" t="s">
        <v>178</v>
      </c>
      <c r="J14" s="21">
        <v>33</v>
      </c>
      <c r="K14" s="21">
        <v>33</v>
      </c>
      <c r="L14" s="24"/>
      <c r="M14" s="21" t="s">
        <v>179</v>
      </c>
    </row>
    <row r="15" spans="1:13" ht="14.5" thickBot="1" x14ac:dyDescent="0.35">
      <c r="A15">
        <v>1640</v>
      </c>
      <c r="B15" s="21" t="s">
        <v>200</v>
      </c>
      <c r="C15" s="21" t="s">
        <v>201</v>
      </c>
      <c r="D15" s="21" t="str">
        <f>+VLOOKUP(C15,[1]Data!$B:$C,2,0)</f>
        <v>665804600C</v>
      </c>
      <c r="E15" s="21" t="s">
        <v>202</v>
      </c>
      <c r="F15" s="22">
        <v>45944</v>
      </c>
      <c r="G15" s="23">
        <v>0.36805555555555558</v>
      </c>
      <c r="H15" s="21" t="s">
        <v>203</v>
      </c>
      <c r="I15" s="21" t="s">
        <v>204</v>
      </c>
      <c r="J15" s="21">
        <v>180</v>
      </c>
      <c r="K15" s="21">
        <v>180</v>
      </c>
      <c r="L15" s="24"/>
      <c r="M15" s="21" t="s">
        <v>179</v>
      </c>
    </row>
    <row r="16" spans="1:13" ht="14.5" thickBot="1" x14ac:dyDescent="0.35">
      <c r="A16">
        <v>1640</v>
      </c>
      <c r="B16" s="21" t="s">
        <v>205</v>
      </c>
      <c r="C16" s="21" t="s">
        <v>201</v>
      </c>
      <c r="D16" s="21" t="str">
        <f>+VLOOKUP(C16,[1]Data!$B:$C,2,0)</f>
        <v>665804600C</v>
      </c>
      <c r="E16" s="21" t="s">
        <v>202</v>
      </c>
      <c r="F16" s="22">
        <v>45944</v>
      </c>
      <c r="G16" s="23">
        <v>0.57638888888888884</v>
      </c>
      <c r="H16" s="21" t="s">
        <v>203</v>
      </c>
      <c r="I16" s="21" t="s">
        <v>204</v>
      </c>
      <c r="J16" s="21">
        <v>114</v>
      </c>
      <c r="K16" s="21">
        <v>114</v>
      </c>
      <c r="L16" s="24"/>
      <c r="M16" s="21" t="s">
        <v>179</v>
      </c>
    </row>
    <row r="17" spans="1:13" ht="14.5" thickBot="1" x14ac:dyDescent="0.35">
      <c r="A17">
        <v>1640</v>
      </c>
      <c r="B17" s="21" t="s">
        <v>206</v>
      </c>
      <c r="C17" s="21" t="s">
        <v>201</v>
      </c>
      <c r="D17" s="21" t="str">
        <f>+VLOOKUP(C17,[1]Data!$B:$C,2,0)</f>
        <v>665804600C</v>
      </c>
      <c r="E17" s="21" t="s">
        <v>202</v>
      </c>
      <c r="F17" s="22">
        <v>45944</v>
      </c>
      <c r="G17" s="23">
        <v>0.78472222222222221</v>
      </c>
      <c r="H17" s="21" t="s">
        <v>203</v>
      </c>
      <c r="I17" s="21" t="s">
        <v>204</v>
      </c>
      <c r="J17" s="21">
        <v>126</v>
      </c>
      <c r="K17" s="21">
        <v>126</v>
      </c>
      <c r="L17" s="24"/>
      <c r="M17" s="21" t="s">
        <v>179</v>
      </c>
    </row>
    <row r="18" spans="1:13" ht="14.5" thickBot="1" x14ac:dyDescent="0.35">
      <c r="A18">
        <v>1640</v>
      </c>
      <c r="B18" s="21" t="s">
        <v>207</v>
      </c>
      <c r="C18" s="21" t="s">
        <v>208</v>
      </c>
      <c r="D18" s="21" t="str">
        <f>+VLOOKUP(C18,[1]Data!$B:$C,2,0)</f>
        <v>665804800C</v>
      </c>
      <c r="E18" s="21" t="s">
        <v>209</v>
      </c>
      <c r="F18" s="22">
        <v>45944</v>
      </c>
      <c r="G18" s="23">
        <v>0.36805555555555558</v>
      </c>
      <c r="H18" s="21" t="s">
        <v>203</v>
      </c>
      <c r="I18" s="21" t="s">
        <v>204</v>
      </c>
      <c r="J18" s="21">
        <v>186</v>
      </c>
      <c r="K18" s="21">
        <v>186</v>
      </c>
      <c r="L18" s="24"/>
      <c r="M18" s="21" t="s">
        <v>179</v>
      </c>
    </row>
    <row r="19" spans="1:13" ht="14.5" thickBot="1" x14ac:dyDescent="0.35">
      <c r="A19">
        <v>1640</v>
      </c>
      <c r="B19" s="21" t="s">
        <v>210</v>
      </c>
      <c r="C19" s="21" t="s">
        <v>208</v>
      </c>
      <c r="D19" s="21" t="str">
        <f>+VLOOKUP(C19,[1]Data!$B:$C,2,0)</f>
        <v>665804800C</v>
      </c>
      <c r="E19" s="21" t="s">
        <v>209</v>
      </c>
      <c r="F19" s="22">
        <v>45944</v>
      </c>
      <c r="G19" s="23">
        <v>0.57638888888888884</v>
      </c>
      <c r="H19" s="21" t="s">
        <v>203</v>
      </c>
      <c r="I19" s="21" t="s">
        <v>204</v>
      </c>
      <c r="J19" s="21">
        <v>108</v>
      </c>
      <c r="K19" s="21">
        <v>108</v>
      </c>
      <c r="L19" s="24"/>
      <c r="M19" s="21" t="s">
        <v>179</v>
      </c>
    </row>
    <row r="20" spans="1:13" ht="14.5" thickBot="1" x14ac:dyDescent="0.35">
      <c r="A20">
        <v>1640</v>
      </c>
      <c r="B20" s="21" t="s">
        <v>211</v>
      </c>
      <c r="C20" s="21" t="s">
        <v>208</v>
      </c>
      <c r="D20" s="21" t="str">
        <f>+VLOOKUP(C20,[1]Data!$B:$C,2,0)</f>
        <v>665804800C</v>
      </c>
      <c r="E20" s="21" t="s">
        <v>209</v>
      </c>
      <c r="F20" s="22">
        <v>45944</v>
      </c>
      <c r="G20" s="23">
        <v>0.78472222222222221</v>
      </c>
      <c r="H20" s="21" t="s">
        <v>203</v>
      </c>
      <c r="I20" s="21" t="s">
        <v>204</v>
      </c>
      <c r="J20" s="21">
        <v>126</v>
      </c>
      <c r="K20" s="21">
        <v>126</v>
      </c>
      <c r="L20" s="24"/>
      <c r="M20" s="21" t="s">
        <v>179</v>
      </c>
    </row>
    <row r="21" spans="1:13" ht="14.5" thickBot="1" x14ac:dyDescent="0.35">
      <c r="A21">
        <v>1640</v>
      </c>
      <c r="B21" s="21" t="s">
        <v>212</v>
      </c>
      <c r="C21" s="21" t="s">
        <v>213</v>
      </c>
      <c r="D21" s="21" t="str">
        <f>+VLOOKUP(C21,[1]Data!$B:$C,2,0)</f>
        <v>666111400B</v>
      </c>
      <c r="E21" s="21" t="s">
        <v>214</v>
      </c>
      <c r="F21" s="22">
        <v>45944</v>
      </c>
      <c r="G21" s="23">
        <v>0.36805555555555558</v>
      </c>
      <c r="H21" s="21" t="s">
        <v>203</v>
      </c>
      <c r="I21" s="21" t="s">
        <v>204</v>
      </c>
      <c r="J21" s="21">
        <v>184</v>
      </c>
      <c r="K21" s="21">
        <v>184</v>
      </c>
      <c r="L21" s="24"/>
      <c r="M21" s="21" t="s">
        <v>179</v>
      </c>
    </row>
    <row r="22" spans="1:13" ht="14.5" thickBot="1" x14ac:dyDescent="0.35">
      <c r="A22">
        <v>1640</v>
      </c>
      <c r="B22" s="21" t="s">
        <v>215</v>
      </c>
      <c r="C22" s="21" t="s">
        <v>213</v>
      </c>
      <c r="D22" s="21" t="str">
        <f>+VLOOKUP(C22,[1]Data!$B:$C,2,0)</f>
        <v>666111400B</v>
      </c>
      <c r="E22" s="21" t="s">
        <v>214</v>
      </c>
      <c r="F22" s="22">
        <v>45944</v>
      </c>
      <c r="G22" s="23">
        <v>0.57638888888888884</v>
      </c>
      <c r="H22" s="21" t="s">
        <v>203</v>
      </c>
      <c r="I22" s="21" t="s">
        <v>204</v>
      </c>
      <c r="J22" s="21">
        <v>104</v>
      </c>
      <c r="K22" s="21">
        <v>104</v>
      </c>
      <c r="L22" s="24"/>
      <c r="M22" s="21" t="s">
        <v>179</v>
      </c>
    </row>
    <row r="23" spans="1:13" ht="14.5" thickBot="1" x14ac:dyDescent="0.35">
      <c r="A23">
        <v>1640</v>
      </c>
      <c r="B23" s="21" t="s">
        <v>216</v>
      </c>
      <c r="C23" s="21" t="s">
        <v>213</v>
      </c>
      <c r="D23" s="21" t="str">
        <f>+VLOOKUP(C23,[1]Data!$B:$C,2,0)</f>
        <v>666111400B</v>
      </c>
      <c r="E23" s="21" t="s">
        <v>214</v>
      </c>
      <c r="F23" s="22">
        <v>45944</v>
      </c>
      <c r="G23" s="23">
        <v>0.78472222222222221</v>
      </c>
      <c r="H23" s="21" t="s">
        <v>203</v>
      </c>
      <c r="I23" s="21" t="s">
        <v>204</v>
      </c>
      <c r="J23" s="21">
        <v>128</v>
      </c>
      <c r="K23" s="21">
        <v>128</v>
      </c>
      <c r="L23" s="24"/>
      <c r="M23" s="21" t="s">
        <v>179</v>
      </c>
    </row>
    <row r="24" spans="1:13" ht="14.5" thickBot="1" x14ac:dyDescent="0.35">
      <c r="A24">
        <v>1640</v>
      </c>
      <c r="B24" s="21" t="s">
        <v>217</v>
      </c>
      <c r="C24" s="21" t="s">
        <v>218</v>
      </c>
      <c r="D24" s="21" t="str">
        <f>+VLOOKUP(C24,[1]Data!$B:$C,2,0)</f>
        <v>666533800D</v>
      </c>
      <c r="E24" s="21" t="s">
        <v>219</v>
      </c>
      <c r="F24" s="22">
        <v>45944</v>
      </c>
      <c r="G24" s="23">
        <v>0.36805555555555558</v>
      </c>
      <c r="H24" s="21" t="s">
        <v>220</v>
      </c>
      <c r="I24" s="21" t="s">
        <v>204</v>
      </c>
      <c r="J24" s="21">
        <v>186</v>
      </c>
      <c r="K24" s="21">
        <v>186</v>
      </c>
      <c r="L24" s="24"/>
      <c r="M24" s="21" t="s">
        <v>179</v>
      </c>
    </row>
    <row r="25" spans="1:13" ht="14.5" thickBot="1" x14ac:dyDescent="0.35">
      <c r="A25">
        <v>1640</v>
      </c>
      <c r="B25" s="21" t="s">
        <v>221</v>
      </c>
      <c r="C25" s="21" t="s">
        <v>218</v>
      </c>
      <c r="D25" s="21" t="str">
        <f>+VLOOKUP(C25,[1]Data!$B:$C,2,0)</f>
        <v>666533800D</v>
      </c>
      <c r="E25" s="21" t="s">
        <v>219</v>
      </c>
      <c r="F25" s="22">
        <v>45944</v>
      </c>
      <c r="G25" s="23">
        <v>0.57638888888888884</v>
      </c>
      <c r="H25" s="21" t="s">
        <v>220</v>
      </c>
      <c r="I25" s="21" t="s">
        <v>204</v>
      </c>
      <c r="J25" s="21">
        <v>108</v>
      </c>
      <c r="K25" s="21">
        <v>108</v>
      </c>
      <c r="L25" s="24"/>
      <c r="M25" s="21" t="s">
        <v>179</v>
      </c>
    </row>
    <row r="26" spans="1:13" ht="14.5" thickBot="1" x14ac:dyDescent="0.35">
      <c r="A26">
        <v>1640</v>
      </c>
      <c r="B26" s="21" t="s">
        <v>222</v>
      </c>
      <c r="C26" s="21" t="s">
        <v>218</v>
      </c>
      <c r="D26" s="21" t="str">
        <f>+VLOOKUP(C26,[1]Data!$B:$C,2,0)</f>
        <v>666533800D</v>
      </c>
      <c r="E26" s="21" t="s">
        <v>219</v>
      </c>
      <c r="F26" s="22">
        <v>45944</v>
      </c>
      <c r="G26" s="23">
        <v>0.78472222222222221</v>
      </c>
      <c r="H26" s="21" t="s">
        <v>220</v>
      </c>
      <c r="I26" s="21" t="s">
        <v>204</v>
      </c>
      <c r="J26" s="21">
        <v>126</v>
      </c>
      <c r="K26" s="21">
        <v>126</v>
      </c>
      <c r="L26" s="24"/>
      <c r="M26" s="21" t="s">
        <v>179</v>
      </c>
    </row>
    <row r="27" spans="1:13" ht="14.5" thickBot="1" x14ac:dyDescent="0.35">
      <c r="A27">
        <v>1640</v>
      </c>
      <c r="B27" s="21" t="s">
        <v>223</v>
      </c>
      <c r="C27" s="21" t="s">
        <v>224</v>
      </c>
      <c r="D27" s="21" t="str">
        <f>+VLOOKUP(C27,[1]Data!$B:$C,2,0)</f>
        <v>665803500B</v>
      </c>
      <c r="E27" s="21" t="s">
        <v>225</v>
      </c>
      <c r="F27" s="22">
        <v>45944</v>
      </c>
      <c r="G27" s="23">
        <v>0.36805555555555558</v>
      </c>
      <c r="H27" s="21" t="s">
        <v>203</v>
      </c>
      <c r="I27" s="21" t="s">
        <v>204</v>
      </c>
      <c r="J27" s="21">
        <v>176</v>
      </c>
      <c r="K27" s="21">
        <v>176</v>
      </c>
      <c r="L27" s="24"/>
      <c r="M27" s="21" t="s">
        <v>179</v>
      </c>
    </row>
    <row r="28" spans="1:13" ht="14.5" thickBot="1" x14ac:dyDescent="0.35">
      <c r="A28">
        <v>1640</v>
      </c>
      <c r="B28" s="21" t="s">
        <v>226</v>
      </c>
      <c r="C28" s="21" t="s">
        <v>224</v>
      </c>
      <c r="D28" s="21" t="str">
        <f>+VLOOKUP(C28,[1]Data!$B:$C,2,0)</f>
        <v>665803500B</v>
      </c>
      <c r="E28" s="21" t="s">
        <v>225</v>
      </c>
      <c r="F28" s="22">
        <v>45944</v>
      </c>
      <c r="G28" s="23">
        <v>0.57638888888888884</v>
      </c>
      <c r="H28" s="21" t="s">
        <v>203</v>
      </c>
      <c r="I28" s="21" t="s">
        <v>204</v>
      </c>
      <c r="J28" s="21">
        <v>112</v>
      </c>
      <c r="K28" s="21">
        <v>112</v>
      </c>
      <c r="L28" s="24"/>
      <c r="M28" s="21" t="s">
        <v>179</v>
      </c>
    </row>
    <row r="29" spans="1:13" ht="14.5" thickBot="1" x14ac:dyDescent="0.35">
      <c r="A29">
        <v>1640</v>
      </c>
      <c r="B29" s="21" t="s">
        <v>227</v>
      </c>
      <c r="C29" s="21" t="s">
        <v>224</v>
      </c>
      <c r="D29" s="21" t="str">
        <f>+VLOOKUP(C29,[1]Data!$B:$C,2,0)</f>
        <v>665803500B</v>
      </c>
      <c r="E29" s="21" t="s">
        <v>225</v>
      </c>
      <c r="F29" s="22">
        <v>45944</v>
      </c>
      <c r="G29" s="23">
        <v>0.78472222222222221</v>
      </c>
      <c r="H29" s="21" t="s">
        <v>203</v>
      </c>
      <c r="I29" s="21" t="s">
        <v>204</v>
      </c>
      <c r="J29" s="21">
        <v>128</v>
      </c>
      <c r="K29" s="21">
        <v>128</v>
      </c>
      <c r="L29" s="24"/>
      <c r="M29" s="21" t="s">
        <v>179</v>
      </c>
    </row>
    <row r="30" spans="1:13" ht="14.5" thickBot="1" x14ac:dyDescent="0.35">
      <c r="A30">
        <v>1640</v>
      </c>
      <c r="B30" s="21" t="s">
        <v>228</v>
      </c>
      <c r="C30" s="21" t="s">
        <v>229</v>
      </c>
      <c r="D30" s="21" t="str">
        <f>+VLOOKUP(C30,[1]Data!$B:$C,2,0)</f>
        <v>666110900B</v>
      </c>
      <c r="E30" s="21" t="s">
        <v>230</v>
      </c>
      <c r="F30" s="22">
        <v>45944</v>
      </c>
      <c r="G30" s="23">
        <v>0.36805555555555558</v>
      </c>
      <c r="H30" s="21" t="s">
        <v>203</v>
      </c>
      <c r="I30" s="21" t="s">
        <v>204</v>
      </c>
      <c r="J30" s="21">
        <v>156</v>
      </c>
      <c r="K30" s="21">
        <v>156</v>
      </c>
      <c r="L30" s="24"/>
      <c r="M30" s="21" t="s">
        <v>179</v>
      </c>
    </row>
    <row r="31" spans="1:13" ht="14.5" thickBot="1" x14ac:dyDescent="0.35">
      <c r="A31">
        <v>1640</v>
      </c>
      <c r="B31" s="21" t="s">
        <v>231</v>
      </c>
      <c r="C31" s="21" t="s">
        <v>229</v>
      </c>
      <c r="D31" s="21" t="str">
        <f>+VLOOKUP(C31,[1]Data!$B:$C,2,0)</f>
        <v>666110900B</v>
      </c>
      <c r="E31" s="21" t="s">
        <v>230</v>
      </c>
      <c r="F31" s="22">
        <v>45944</v>
      </c>
      <c r="G31" s="23">
        <v>0.57638888888888884</v>
      </c>
      <c r="H31" s="21" t="s">
        <v>203</v>
      </c>
      <c r="I31" s="21" t="s">
        <v>204</v>
      </c>
      <c r="J31" s="21">
        <v>117</v>
      </c>
      <c r="K31" s="21">
        <v>117</v>
      </c>
      <c r="L31" s="24"/>
      <c r="M31" s="21" t="s">
        <v>179</v>
      </c>
    </row>
    <row r="32" spans="1:13" ht="14.5" thickBot="1" x14ac:dyDescent="0.35">
      <c r="A32">
        <v>1640</v>
      </c>
      <c r="B32" s="21" t="s">
        <v>232</v>
      </c>
      <c r="C32" s="21" t="s">
        <v>229</v>
      </c>
      <c r="D32" s="21" t="str">
        <f>+VLOOKUP(C32,[1]Data!$B:$C,2,0)</f>
        <v>666110900B</v>
      </c>
      <c r="E32" s="21" t="s">
        <v>230</v>
      </c>
      <c r="F32" s="22">
        <v>45944</v>
      </c>
      <c r="G32" s="23">
        <v>0.78472222222222221</v>
      </c>
      <c r="H32" s="21" t="s">
        <v>203</v>
      </c>
      <c r="I32" s="21" t="s">
        <v>204</v>
      </c>
      <c r="J32" s="21">
        <v>117</v>
      </c>
      <c r="K32" s="21">
        <v>117</v>
      </c>
      <c r="L32" s="24"/>
      <c r="M32" s="21" t="s">
        <v>179</v>
      </c>
    </row>
    <row r="33" spans="1:13" ht="14.5" thickBot="1" x14ac:dyDescent="0.35">
      <c r="A33">
        <v>1640</v>
      </c>
      <c r="B33" s="21" t="s">
        <v>233</v>
      </c>
      <c r="C33" s="21" t="s">
        <v>234</v>
      </c>
      <c r="D33" s="21" t="str">
        <f>+VLOOKUP(C33,[1]Data!$B:$C,2,0)</f>
        <v>666534000D</v>
      </c>
      <c r="E33" s="21" t="s">
        <v>235</v>
      </c>
      <c r="F33" s="22">
        <v>45944</v>
      </c>
      <c r="G33" s="23">
        <v>0.36805555555555558</v>
      </c>
      <c r="H33" s="21" t="s">
        <v>220</v>
      </c>
      <c r="I33" s="21" t="s">
        <v>204</v>
      </c>
      <c r="J33" s="21">
        <v>180</v>
      </c>
      <c r="K33" s="21">
        <v>180</v>
      </c>
      <c r="L33" s="24"/>
      <c r="M33" s="21" t="s">
        <v>179</v>
      </c>
    </row>
    <row r="34" spans="1:13" ht="14.5" thickBot="1" x14ac:dyDescent="0.35">
      <c r="A34">
        <v>1640</v>
      </c>
      <c r="B34" s="21" t="s">
        <v>236</v>
      </c>
      <c r="C34" s="21" t="s">
        <v>234</v>
      </c>
      <c r="D34" s="21" t="str">
        <f>+VLOOKUP(C34,[1]Data!$B:$C,2,0)</f>
        <v>666534000D</v>
      </c>
      <c r="E34" s="21" t="s">
        <v>235</v>
      </c>
      <c r="F34" s="22">
        <v>45944</v>
      </c>
      <c r="G34" s="23">
        <v>0.57638888888888884</v>
      </c>
      <c r="H34" s="21" t="s">
        <v>220</v>
      </c>
      <c r="I34" s="21" t="s">
        <v>204</v>
      </c>
      <c r="J34" s="21">
        <v>114</v>
      </c>
      <c r="K34" s="21">
        <v>114</v>
      </c>
      <c r="L34" s="24"/>
      <c r="M34" s="21" t="s">
        <v>179</v>
      </c>
    </row>
    <row r="35" spans="1:13" ht="14.5" thickBot="1" x14ac:dyDescent="0.35">
      <c r="A35">
        <v>1640</v>
      </c>
      <c r="B35" s="21" t="s">
        <v>237</v>
      </c>
      <c r="C35" s="21" t="s">
        <v>234</v>
      </c>
      <c r="D35" s="21" t="str">
        <f>+VLOOKUP(C35,[1]Data!$B:$C,2,0)</f>
        <v>666534000D</v>
      </c>
      <c r="E35" s="21" t="s">
        <v>235</v>
      </c>
      <c r="F35" s="22">
        <v>45944</v>
      </c>
      <c r="G35" s="23">
        <v>0.78472222222222221</v>
      </c>
      <c r="H35" s="21" t="s">
        <v>220</v>
      </c>
      <c r="I35" s="21" t="s">
        <v>204</v>
      </c>
      <c r="J35" s="21">
        <v>126</v>
      </c>
      <c r="K35" s="21">
        <v>126</v>
      </c>
      <c r="L35" s="24"/>
      <c r="M35" s="21" t="s">
        <v>179</v>
      </c>
    </row>
    <row r="36" spans="1:13" ht="14.5" thickBot="1" x14ac:dyDescent="0.35">
      <c r="A36">
        <v>1640</v>
      </c>
      <c r="B36" s="21" t="s">
        <v>238</v>
      </c>
      <c r="C36" s="21" t="s">
        <v>239</v>
      </c>
      <c r="D36" s="21" t="str">
        <f>+VLOOKUP(C36,[1]Data!$B:$C,2,0)</f>
        <v>666534200B</v>
      </c>
      <c r="E36" s="21" t="s">
        <v>240</v>
      </c>
      <c r="F36" s="22">
        <v>45944</v>
      </c>
      <c r="G36" s="23">
        <v>0.36805555555555558</v>
      </c>
      <c r="H36" s="21" t="s">
        <v>203</v>
      </c>
      <c r="I36" s="21" t="s">
        <v>204</v>
      </c>
      <c r="J36" s="21">
        <v>186</v>
      </c>
      <c r="K36" s="21">
        <v>186</v>
      </c>
      <c r="L36" s="24"/>
      <c r="M36" s="21" t="s">
        <v>179</v>
      </c>
    </row>
    <row r="37" spans="1:13" ht="14.5" thickBot="1" x14ac:dyDescent="0.35">
      <c r="A37">
        <v>1640</v>
      </c>
      <c r="B37" s="21" t="s">
        <v>241</v>
      </c>
      <c r="C37" s="21" t="s">
        <v>239</v>
      </c>
      <c r="D37" s="21" t="str">
        <f>+VLOOKUP(C37,[1]Data!$B:$C,2,0)</f>
        <v>666534200B</v>
      </c>
      <c r="E37" s="21" t="s">
        <v>240</v>
      </c>
      <c r="F37" s="22">
        <v>45944</v>
      </c>
      <c r="G37" s="23">
        <v>0.57638888888888884</v>
      </c>
      <c r="H37" s="21" t="s">
        <v>203</v>
      </c>
      <c r="I37" s="21" t="s">
        <v>204</v>
      </c>
      <c r="J37" s="21">
        <v>114</v>
      </c>
      <c r="K37" s="21">
        <v>114</v>
      </c>
      <c r="L37" s="24"/>
      <c r="M37" s="21" t="s">
        <v>179</v>
      </c>
    </row>
    <row r="38" spans="1:13" ht="14.5" thickBot="1" x14ac:dyDescent="0.35">
      <c r="A38">
        <v>1640</v>
      </c>
      <c r="B38" s="21" t="s">
        <v>242</v>
      </c>
      <c r="C38" s="21" t="s">
        <v>239</v>
      </c>
      <c r="D38" s="21" t="str">
        <f>+VLOOKUP(C38,[1]Data!$B:$C,2,0)</f>
        <v>666534200B</v>
      </c>
      <c r="E38" s="21" t="s">
        <v>240</v>
      </c>
      <c r="F38" s="22">
        <v>45944</v>
      </c>
      <c r="G38" s="23">
        <v>0.78472222222222221</v>
      </c>
      <c r="H38" s="21" t="s">
        <v>203</v>
      </c>
      <c r="I38" s="21" t="s">
        <v>204</v>
      </c>
      <c r="J38" s="21">
        <v>120</v>
      </c>
      <c r="K38" s="21">
        <v>120</v>
      </c>
      <c r="L38" s="24"/>
      <c r="M38" s="21" t="s">
        <v>179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198A-08C3-434C-A1D5-8A239D4D643A}">
  <sheetPr>
    <tabColor rgb="FF00B050"/>
  </sheetPr>
  <dimension ref="A1:L199"/>
  <sheetViews>
    <sheetView workbookViewId="0"/>
  </sheetViews>
  <sheetFormatPr defaultRowHeight="14" x14ac:dyDescent="0.3"/>
  <cols>
    <col min="2" max="2" width="19.33203125" bestFit="1" customWidth="1"/>
    <col min="3" max="3" width="19.9140625" bestFit="1" customWidth="1"/>
    <col min="4" max="4" width="36.33203125" bestFit="1" customWidth="1"/>
    <col min="5" max="5" width="10.5" bestFit="1" customWidth="1"/>
    <col min="6" max="6" width="8.33203125" bestFit="1" customWidth="1"/>
    <col min="7" max="7" width="7.5" bestFit="1" customWidth="1"/>
    <col min="8" max="8" width="7.4140625" bestFit="1" customWidth="1"/>
    <col min="9" max="11" width="8.5" bestFit="1" customWidth="1"/>
    <col min="12" max="12" width="8" bestFit="1" customWidth="1"/>
  </cols>
  <sheetData>
    <row r="1" spans="1:12" ht="54.5" thickBot="1" x14ac:dyDescent="0.35">
      <c r="A1" s="1" t="s">
        <v>0</v>
      </c>
      <c r="B1" s="20" t="s">
        <v>162</v>
      </c>
      <c r="C1" s="20" t="s">
        <v>163</v>
      </c>
      <c r="D1" s="20" t="s">
        <v>165</v>
      </c>
      <c r="E1" s="20" t="s">
        <v>166</v>
      </c>
      <c r="F1" s="20" t="s">
        <v>167</v>
      </c>
      <c r="G1" s="20" t="s">
        <v>168</v>
      </c>
      <c r="H1" s="20" t="s">
        <v>169</v>
      </c>
      <c r="I1" s="20" t="s">
        <v>170</v>
      </c>
      <c r="J1" s="20" t="s">
        <v>171</v>
      </c>
      <c r="K1" s="20" t="s">
        <v>172</v>
      </c>
      <c r="L1" s="20" t="s">
        <v>173</v>
      </c>
    </row>
    <row r="2" spans="1:12" ht="14.5" thickBot="1" x14ac:dyDescent="0.35">
      <c r="A2">
        <v>1231</v>
      </c>
      <c r="B2" s="21" t="s">
        <v>243</v>
      </c>
      <c r="C2" s="21" t="s">
        <v>244</v>
      </c>
      <c r="D2" s="21" t="s">
        <v>245</v>
      </c>
      <c r="E2" s="22">
        <v>45944</v>
      </c>
      <c r="F2" s="23">
        <v>0.34375</v>
      </c>
      <c r="G2" s="21" t="s">
        <v>246</v>
      </c>
      <c r="H2" s="21" t="s">
        <v>247</v>
      </c>
      <c r="I2" s="21">
        <v>72</v>
      </c>
      <c r="J2" s="21">
        <v>72</v>
      </c>
      <c r="K2" s="24"/>
      <c r="L2" s="21" t="s">
        <v>179</v>
      </c>
    </row>
    <row r="3" spans="1:12" ht="14.5" thickBot="1" x14ac:dyDescent="0.35">
      <c r="A3">
        <v>1231</v>
      </c>
      <c r="B3" s="21" t="s">
        <v>248</v>
      </c>
      <c r="C3" s="21" t="s">
        <v>244</v>
      </c>
      <c r="D3" s="21" t="s">
        <v>245</v>
      </c>
      <c r="E3" s="22">
        <v>45944</v>
      </c>
      <c r="F3" s="23">
        <v>0.49930555555555556</v>
      </c>
      <c r="G3" s="21" t="s">
        <v>246</v>
      </c>
      <c r="H3" s="21" t="s">
        <v>247</v>
      </c>
      <c r="I3" s="21">
        <v>144</v>
      </c>
      <c r="J3" s="21">
        <v>144</v>
      </c>
      <c r="K3" s="24"/>
      <c r="L3" s="21" t="s">
        <v>179</v>
      </c>
    </row>
    <row r="4" spans="1:12" ht="14.5" thickBot="1" x14ac:dyDescent="0.35">
      <c r="A4">
        <v>1231</v>
      </c>
      <c r="B4" s="21" t="s">
        <v>249</v>
      </c>
      <c r="C4" s="21" t="s">
        <v>250</v>
      </c>
      <c r="D4" s="21" t="s">
        <v>245</v>
      </c>
      <c r="E4" s="22">
        <v>45944</v>
      </c>
      <c r="F4" s="23">
        <v>0.34375</v>
      </c>
      <c r="G4" s="21" t="s">
        <v>246</v>
      </c>
      <c r="H4" s="21" t="s">
        <v>251</v>
      </c>
      <c r="I4" s="21">
        <v>48</v>
      </c>
      <c r="J4" s="21">
        <v>48</v>
      </c>
      <c r="K4" s="24"/>
      <c r="L4" s="21" t="s">
        <v>179</v>
      </c>
    </row>
    <row r="5" spans="1:12" ht="14.5" thickBot="1" x14ac:dyDescent="0.35">
      <c r="A5">
        <v>1231</v>
      </c>
      <c r="B5" s="21" t="s">
        <v>252</v>
      </c>
      <c r="C5" s="21" t="s">
        <v>250</v>
      </c>
      <c r="D5" s="21" t="s">
        <v>245</v>
      </c>
      <c r="E5" s="22">
        <v>45944</v>
      </c>
      <c r="F5" s="23">
        <v>0.49930555555555556</v>
      </c>
      <c r="G5" s="21" t="s">
        <v>246</v>
      </c>
      <c r="H5" s="21" t="s">
        <v>251</v>
      </c>
      <c r="I5" s="21">
        <v>44</v>
      </c>
      <c r="J5" s="21">
        <v>44</v>
      </c>
      <c r="K5" s="24"/>
      <c r="L5" s="21" t="s">
        <v>179</v>
      </c>
    </row>
    <row r="6" spans="1:12" ht="14.5" thickBot="1" x14ac:dyDescent="0.35">
      <c r="A6">
        <v>1231</v>
      </c>
      <c r="B6" s="21" t="s">
        <v>253</v>
      </c>
      <c r="C6" s="21" t="s">
        <v>254</v>
      </c>
      <c r="D6" s="21" t="s">
        <v>245</v>
      </c>
      <c r="E6" s="22">
        <v>45944</v>
      </c>
      <c r="F6" s="23">
        <v>0.34375</v>
      </c>
      <c r="G6" s="21" t="s">
        <v>255</v>
      </c>
      <c r="H6" s="21" t="s">
        <v>256</v>
      </c>
      <c r="I6" s="21">
        <v>20</v>
      </c>
      <c r="J6" s="21">
        <v>20</v>
      </c>
      <c r="K6" s="24"/>
      <c r="L6" s="21" t="s">
        <v>179</v>
      </c>
    </row>
    <row r="7" spans="1:12" ht="14.5" thickBot="1" x14ac:dyDescent="0.35">
      <c r="A7">
        <v>1231</v>
      </c>
      <c r="B7" s="21" t="s">
        <v>257</v>
      </c>
      <c r="C7" s="21" t="s">
        <v>254</v>
      </c>
      <c r="D7" s="21" t="s">
        <v>245</v>
      </c>
      <c r="E7" s="22">
        <v>45944</v>
      </c>
      <c r="F7" s="23">
        <v>0.34375</v>
      </c>
      <c r="G7" s="21" t="s">
        <v>246</v>
      </c>
      <c r="H7" s="21" t="s">
        <v>258</v>
      </c>
      <c r="I7" s="21">
        <v>36</v>
      </c>
      <c r="J7" s="21">
        <v>36</v>
      </c>
      <c r="K7" s="24"/>
      <c r="L7" s="21" t="s">
        <v>179</v>
      </c>
    </row>
    <row r="8" spans="1:12" ht="14.5" thickBot="1" x14ac:dyDescent="0.35">
      <c r="A8">
        <v>1231</v>
      </c>
      <c r="B8" s="21" t="s">
        <v>259</v>
      </c>
      <c r="C8" s="21" t="s">
        <v>254</v>
      </c>
      <c r="D8" s="21" t="s">
        <v>245</v>
      </c>
      <c r="E8" s="22">
        <v>45944</v>
      </c>
      <c r="F8" s="23">
        <v>0.49930555555555556</v>
      </c>
      <c r="G8" s="21" t="s">
        <v>255</v>
      </c>
      <c r="H8" s="21" t="s">
        <v>256</v>
      </c>
      <c r="I8" s="21">
        <v>4</v>
      </c>
      <c r="J8" s="21">
        <v>4</v>
      </c>
      <c r="K8" s="24"/>
      <c r="L8" s="21" t="s">
        <v>179</v>
      </c>
    </row>
    <row r="9" spans="1:12" ht="14.5" thickBot="1" x14ac:dyDescent="0.35">
      <c r="A9">
        <v>1231</v>
      </c>
      <c r="B9" s="21" t="s">
        <v>260</v>
      </c>
      <c r="C9" s="21" t="s">
        <v>254</v>
      </c>
      <c r="D9" s="21" t="s">
        <v>245</v>
      </c>
      <c r="E9" s="22">
        <v>45944</v>
      </c>
      <c r="F9" s="23">
        <v>0.49930555555555556</v>
      </c>
      <c r="G9" s="21" t="s">
        <v>246</v>
      </c>
      <c r="H9" s="21" t="s">
        <v>258</v>
      </c>
      <c r="I9" s="21">
        <v>36</v>
      </c>
      <c r="J9" s="21">
        <v>36</v>
      </c>
      <c r="K9" s="24"/>
      <c r="L9" s="21" t="s">
        <v>179</v>
      </c>
    </row>
    <row r="10" spans="1:12" ht="14.5" thickBot="1" x14ac:dyDescent="0.35">
      <c r="A10">
        <v>1231</v>
      </c>
      <c r="B10" s="21" t="s">
        <v>261</v>
      </c>
      <c r="C10" s="21" t="s">
        <v>254</v>
      </c>
      <c r="D10" s="21" t="s">
        <v>245</v>
      </c>
      <c r="E10" s="22">
        <v>45944</v>
      </c>
      <c r="F10" s="23">
        <v>0.63472222222222219</v>
      </c>
      <c r="G10" s="21" t="s">
        <v>255</v>
      </c>
      <c r="H10" s="21" t="s">
        <v>256</v>
      </c>
      <c r="I10" s="21">
        <v>8</v>
      </c>
      <c r="J10" s="21">
        <v>8</v>
      </c>
      <c r="K10" s="24"/>
      <c r="L10" s="21" t="s">
        <v>179</v>
      </c>
    </row>
    <row r="11" spans="1:12" ht="14.5" thickBot="1" x14ac:dyDescent="0.35">
      <c r="A11">
        <v>1231</v>
      </c>
      <c r="B11" s="21" t="s">
        <v>262</v>
      </c>
      <c r="C11" s="21" t="s">
        <v>254</v>
      </c>
      <c r="D11" s="21" t="s">
        <v>245</v>
      </c>
      <c r="E11" s="22">
        <v>45944</v>
      </c>
      <c r="F11" s="23">
        <v>0.77152777777777781</v>
      </c>
      <c r="G11" s="21" t="s">
        <v>255</v>
      </c>
      <c r="H11" s="21" t="s">
        <v>256</v>
      </c>
      <c r="I11" s="21">
        <v>4</v>
      </c>
      <c r="J11" s="21">
        <v>4</v>
      </c>
      <c r="K11" s="24"/>
      <c r="L11" s="21" t="s">
        <v>179</v>
      </c>
    </row>
    <row r="12" spans="1:12" ht="14.5" thickBot="1" x14ac:dyDescent="0.35">
      <c r="A12">
        <v>1231</v>
      </c>
      <c r="B12" s="21" t="s">
        <v>263</v>
      </c>
      <c r="C12" s="21" t="s">
        <v>254</v>
      </c>
      <c r="D12" s="21" t="s">
        <v>245</v>
      </c>
      <c r="E12" s="22">
        <v>45944</v>
      </c>
      <c r="F12" s="23">
        <v>0.89583333333333337</v>
      </c>
      <c r="G12" s="21" t="s">
        <v>255</v>
      </c>
      <c r="H12" s="21" t="s">
        <v>256</v>
      </c>
      <c r="I12" s="21">
        <v>32</v>
      </c>
      <c r="J12" s="21">
        <v>32</v>
      </c>
      <c r="K12" s="24"/>
      <c r="L12" s="21" t="s">
        <v>179</v>
      </c>
    </row>
    <row r="13" spans="1:12" ht="14.5" thickBot="1" x14ac:dyDescent="0.35">
      <c r="A13">
        <v>1231</v>
      </c>
      <c r="B13" s="21" t="s">
        <v>264</v>
      </c>
      <c r="C13" s="21" t="s">
        <v>265</v>
      </c>
      <c r="D13" s="21" t="s">
        <v>245</v>
      </c>
      <c r="E13" s="22">
        <v>45944</v>
      </c>
      <c r="F13" s="23">
        <v>0.49930555555555556</v>
      </c>
      <c r="G13" s="21" t="s">
        <v>246</v>
      </c>
      <c r="H13" s="21" t="s">
        <v>251</v>
      </c>
      <c r="I13" s="21">
        <v>72</v>
      </c>
      <c r="J13" s="21">
        <v>72</v>
      </c>
      <c r="K13" s="24"/>
      <c r="L13" s="21" t="s">
        <v>179</v>
      </c>
    </row>
    <row r="14" spans="1:12" ht="14.5" thickBot="1" x14ac:dyDescent="0.35">
      <c r="A14">
        <v>1231</v>
      </c>
      <c r="B14" s="21" t="s">
        <v>266</v>
      </c>
      <c r="C14" s="21" t="s">
        <v>267</v>
      </c>
      <c r="D14" s="21" t="s">
        <v>245</v>
      </c>
      <c r="E14" s="22">
        <v>45944</v>
      </c>
      <c r="F14" s="23">
        <v>0.34375</v>
      </c>
      <c r="G14" s="21" t="s">
        <v>246</v>
      </c>
      <c r="H14" s="21" t="s">
        <v>251</v>
      </c>
      <c r="I14" s="21">
        <v>32</v>
      </c>
      <c r="J14" s="21">
        <v>32</v>
      </c>
      <c r="K14" s="24"/>
      <c r="L14" s="21" t="s">
        <v>179</v>
      </c>
    </row>
    <row r="15" spans="1:12" ht="14.5" thickBot="1" x14ac:dyDescent="0.35">
      <c r="A15">
        <v>1231</v>
      </c>
      <c r="B15" s="21" t="s">
        <v>268</v>
      </c>
      <c r="C15" s="21" t="s">
        <v>267</v>
      </c>
      <c r="D15" s="21" t="s">
        <v>245</v>
      </c>
      <c r="E15" s="22">
        <v>45944</v>
      </c>
      <c r="F15" s="23">
        <v>0.49930555555555556</v>
      </c>
      <c r="G15" s="21" t="s">
        <v>246</v>
      </c>
      <c r="H15" s="21" t="s">
        <v>251</v>
      </c>
      <c r="I15" s="21">
        <v>36</v>
      </c>
      <c r="J15" s="21">
        <v>36</v>
      </c>
      <c r="K15" s="24"/>
      <c r="L15" s="21" t="s">
        <v>179</v>
      </c>
    </row>
    <row r="16" spans="1:12" ht="14.5" thickBot="1" x14ac:dyDescent="0.35">
      <c r="A16">
        <v>1231</v>
      </c>
      <c r="B16" s="21" t="s">
        <v>269</v>
      </c>
      <c r="C16" s="21" t="s">
        <v>270</v>
      </c>
      <c r="D16" s="21" t="s">
        <v>245</v>
      </c>
      <c r="E16" s="22">
        <v>45944</v>
      </c>
      <c r="F16" s="23">
        <v>0.49930555555555556</v>
      </c>
      <c r="G16" s="21" t="s">
        <v>255</v>
      </c>
      <c r="H16" s="21" t="s">
        <v>256</v>
      </c>
      <c r="I16" s="21">
        <v>4</v>
      </c>
      <c r="J16" s="21">
        <v>4</v>
      </c>
      <c r="K16" s="24"/>
      <c r="L16" s="21" t="s">
        <v>179</v>
      </c>
    </row>
    <row r="17" spans="1:12" ht="14.5" thickBot="1" x14ac:dyDescent="0.35">
      <c r="A17">
        <v>1231</v>
      </c>
      <c r="B17" s="21" t="s">
        <v>271</v>
      </c>
      <c r="C17" s="21" t="s">
        <v>270</v>
      </c>
      <c r="D17" s="21" t="s">
        <v>245</v>
      </c>
      <c r="E17" s="22">
        <v>45944</v>
      </c>
      <c r="F17" s="23">
        <v>0.89583333333333337</v>
      </c>
      <c r="G17" s="21" t="s">
        <v>255</v>
      </c>
      <c r="H17" s="21" t="s">
        <v>256</v>
      </c>
      <c r="I17" s="21">
        <v>4</v>
      </c>
      <c r="J17" s="21">
        <v>4</v>
      </c>
      <c r="K17" s="24"/>
      <c r="L17" s="21" t="s">
        <v>179</v>
      </c>
    </row>
    <row r="18" spans="1:12" ht="14.5" thickBot="1" x14ac:dyDescent="0.35">
      <c r="A18">
        <v>1231</v>
      </c>
      <c r="B18" s="21" t="s">
        <v>272</v>
      </c>
      <c r="C18" s="21" t="s">
        <v>270</v>
      </c>
      <c r="D18" s="21" t="s">
        <v>245</v>
      </c>
      <c r="E18" s="22">
        <v>45944</v>
      </c>
      <c r="F18" s="23">
        <v>0.89652777777777781</v>
      </c>
      <c r="G18" s="21" t="s">
        <v>255</v>
      </c>
      <c r="H18" s="21" t="s">
        <v>256</v>
      </c>
      <c r="I18" s="21">
        <v>4</v>
      </c>
      <c r="J18" s="21">
        <v>4</v>
      </c>
      <c r="K18" s="24"/>
      <c r="L18" s="21" t="s">
        <v>179</v>
      </c>
    </row>
    <row r="19" spans="1:12" ht="14.5" thickBot="1" x14ac:dyDescent="0.35">
      <c r="A19">
        <v>1231</v>
      </c>
      <c r="B19" s="21" t="s">
        <v>273</v>
      </c>
      <c r="C19" s="21" t="s">
        <v>274</v>
      </c>
      <c r="D19" s="21" t="s">
        <v>275</v>
      </c>
      <c r="E19" s="22">
        <v>45944</v>
      </c>
      <c r="F19" s="23">
        <v>0.34375</v>
      </c>
      <c r="G19" s="21" t="s">
        <v>276</v>
      </c>
      <c r="H19" s="21" t="s">
        <v>258</v>
      </c>
      <c r="I19" s="21">
        <v>12</v>
      </c>
      <c r="J19" s="21">
        <v>12</v>
      </c>
      <c r="K19" s="24"/>
      <c r="L19" s="21" t="s">
        <v>179</v>
      </c>
    </row>
    <row r="20" spans="1:12" ht="14.5" thickBot="1" x14ac:dyDescent="0.35">
      <c r="A20">
        <v>1231</v>
      </c>
      <c r="B20" s="21" t="s">
        <v>277</v>
      </c>
      <c r="C20" s="21" t="s">
        <v>274</v>
      </c>
      <c r="D20" s="21" t="s">
        <v>275</v>
      </c>
      <c r="E20" s="22">
        <v>45944</v>
      </c>
      <c r="F20" s="23">
        <v>0.34375</v>
      </c>
      <c r="G20" s="21" t="s">
        <v>276</v>
      </c>
      <c r="H20" s="21" t="s">
        <v>247</v>
      </c>
      <c r="I20" s="21">
        <v>30</v>
      </c>
      <c r="J20" s="21">
        <v>30</v>
      </c>
      <c r="K20" s="24"/>
      <c r="L20" s="21" t="s">
        <v>179</v>
      </c>
    </row>
    <row r="21" spans="1:12" ht="14.5" thickBot="1" x14ac:dyDescent="0.35">
      <c r="A21">
        <v>1231</v>
      </c>
      <c r="B21" s="21" t="s">
        <v>278</v>
      </c>
      <c r="C21" s="21" t="s">
        <v>274</v>
      </c>
      <c r="D21" s="21" t="s">
        <v>275</v>
      </c>
      <c r="E21" s="22">
        <v>45944</v>
      </c>
      <c r="F21" s="23">
        <v>0.49930555555555556</v>
      </c>
      <c r="G21" s="21" t="s">
        <v>276</v>
      </c>
      <c r="H21" s="21" t="s">
        <v>258</v>
      </c>
      <c r="I21" s="21">
        <v>24</v>
      </c>
      <c r="J21" s="21">
        <v>24</v>
      </c>
      <c r="K21" s="24"/>
      <c r="L21" s="21" t="s">
        <v>179</v>
      </c>
    </row>
    <row r="22" spans="1:12" ht="14.5" thickBot="1" x14ac:dyDescent="0.35">
      <c r="A22">
        <v>1231</v>
      </c>
      <c r="B22" s="21" t="s">
        <v>279</v>
      </c>
      <c r="C22" s="21" t="s">
        <v>274</v>
      </c>
      <c r="D22" s="21" t="s">
        <v>275</v>
      </c>
      <c r="E22" s="22">
        <v>45944</v>
      </c>
      <c r="F22" s="23">
        <v>0.49930555555555556</v>
      </c>
      <c r="G22" s="21" t="s">
        <v>276</v>
      </c>
      <c r="H22" s="21" t="s">
        <v>247</v>
      </c>
      <c r="I22" s="21">
        <v>24</v>
      </c>
      <c r="J22" s="21">
        <v>24</v>
      </c>
      <c r="K22" s="24"/>
      <c r="L22" s="21" t="s">
        <v>179</v>
      </c>
    </row>
    <row r="23" spans="1:12" ht="14.5" thickBot="1" x14ac:dyDescent="0.35">
      <c r="A23">
        <v>1231</v>
      </c>
      <c r="B23" s="21" t="s">
        <v>280</v>
      </c>
      <c r="C23" s="21" t="s">
        <v>281</v>
      </c>
      <c r="D23" s="21" t="s">
        <v>275</v>
      </c>
      <c r="E23" s="22">
        <v>45944</v>
      </c>
      <c r="F23" s="23">
        <v>0.34375</v>
      </c>
      <c r="G23" s="21" t="s">
        <v>282</v>
      </c>
      <c r="H23" s="21" t="s">
        <v>256</v>
      </c>
      <c r="I23" s="21">
        <v>27</v>
      </c>
      <c r="J23" s="21">
        <v>27</v>
      </c>
      <c r="K23" s="24"/>
      <c r="L23" s="21" t="s">
        <v>179</v>
      </c>
    </row>
    <row r="24" spans="1:12" ht="14.5" thickBot="1" x14ac:dyDescent="0.35">
      <c r="A24">
        <v>1231</v>
      </c>
      <c r="B24" s="21" t="s">
        <v>283</v>
      </c>
      <c r="C24" s="21" t="s">
        <v>281</v>
      </c>
      <c r="D24" s="21" t="s">
        <v>275</v>
      </c>
      <c r="E24" s="22">
        <v>45944</v>
      </c>
      <c r="F24" s="23">
        <v>0.34375</v>
      </c>
      <c r="G24" s="21" t="s">
        <v>276</v>
      </c>
      <c r="H24" s="21" t="s">
        <v>247</v>
      </c>
      <c r="I24" s="21">
        <v>153</v>
      </c>
      <c r="J24" s="21">
        <v>153</v>
      </c>
      <c r="K24" s="24"/>
      <c r="L24" s="21" t="s">
        <v>179</v>
      </c>
    </row>
    <row r="25" spans="1:12" ht="14.5" thickBot="1" x14ac:dyDescent="0.35">
      <c r="A25">
        <v>1231</v>
      </c>
      <c r="B25" s="21" t="s">
        <v>284</v>
      </c>
      <c r="C25" s="21" t="s">
        <v>281</v>
      </c>
      <c r="D25" s="21" t="s">
        <v>275</v>
      </c>
      <c r="E25" s="22">
        <v>45944</v>
      </c>
      <c r="F25" s="23">
        <v>0.49930555555555556</v>
      </c>
      <c r="G25" s="21" t="s">
        <v>282</v>
      </c>
      <c r="H25" s="21" t="s">
        <v>256</v>
      </c>
      <c r="I25" s="21">
        <v>9</v>
      </c>
      <c r="J25" s="21">
        <v>9</v>
      </c>
      <c r="K25" s="24"/>
      <c r="L25" s="21" t="s">
        <v>179</v>
      </c>
    </row>
    <row r="26" spans="1:12" ht="14.5" thickBot="1" x14ac:dyDescent="0.35">
      <c r="A26">
        <v>1231</v>
      </c>
      <c r="B26" s="21" t="s">
        <v>285</v>
      </c>
      <c r="C26" s="21" t="s">
        <v>281</v>
      </c>
      <c r="D26" s="21" t="s">
        <v>275</v>
      </c>
      <c r="E26" s="22">
        <v>45944</v>
      </c>
      <c r="F26" s="23">
        <v>0.49930555555555556</v>
      </c>
      <c r="G26" s="21" t="s">
        <v>276</v>
      </c>
      <c r="H26" s="21" t="s">
        <v>247</v>
      </c>
      <c r="I26" s="21">
        <v>198</v>
      </c>
      <c r="J26" s="21">
        <v>198</v>
      </c>
      <c r="K26" s="24"/>
      <c r="L26" s="21" t="s">
        <v>179</v>
      </c>
    </row>
    <row r="27" spans="1:12" ht="14.5" thickBot="1" x14ac:dyDescent="0.35">
      <c r="A27">
        <v>1231</v>
      </c>
      <c r="B27" s="21" t="s">
        <v>286</v>
      </c>
      <c r="C27" s="21" t="s">
        <v>281</v>
      </c>
      <c r="D27" s="21" t="s">
        <v>275</v>
      </c>
      <c r="E27" s="22">
        <v>45944</v>
      </c>
      <c r="F27" s="23">
        <v>0.77152777777777781</v>
      </c>
      <c r="G27" s="21" t="s">
        <v>282</v>
      </c>
      <c r="H27" s="21" t="s">
        <v>256</v>
      </c>
      <c r="I27" s="21">
        <v>9</v>
      </c>
      <c r="J27" s="21">
        <v>9</v>
      </c>
      <c r="K27" s="24"/>
      <c r="L27" s="21" t="s">
        <v>179</v>
      </c>
    </row>
    <row r="28" spans="1:12" ht="14.5" thickBot="1" x14ac:dyDescent="0.35">
      <c r="A28">
        <v>1231</v>
      </c>
      <c r="B28" s="21" t="s">
        <v>287</v>
      </c>
      <c r="C28" s="21" t="s">
        <v>281</v>
      </c>
      <c r="D28" s="21" t="s">
        <v>275</v>
      </c>
      <c r="E28" s="22">
        <v>45944</v>
      </c>
      <c r="F28" s="23">
        <v>0.89583333333333337</v>
      </c>
      <c r="G28" s="21" t="s">
        <v>282</v>
      </c>
      <c r="H28" s="21" t="s">
        <v>256</v>
      </c>
      <c r="I28" s="21">
        <v>36</v>
      </c>
      <c r="J28" s="21">
        <v>36</v>
      </c>
      <c r="K28" s="24"/>
      <c r="L28" s="21" t="s">
        <v>179</v>
      </c>
    </row>
    <row r="29" spans="1:12" ht="14.5" thickBot="1" x14ac:dyDescent="0.35">
      <c r="A29">
        <v>1231</v>
      </c>
      <c r="B29" s="21" t="s">
        <v>288</v>
      </c>
      <c r="C29" s="21" t="s">
        <v>289</v>
      </c>
      <c r="D29" s="21" t="s">
        <v>275</v>
      </c>
      <c r="E29" s="22">
        <v>45944</v>
      </c>
      <c r="F29" s="23">
        <v>0.34375</v>
      </c>
      <c r="G29" s="21" t="s">
        <v>276</v>
      </c>
      <c r="H29" s="21" t="s">
        <v>251</v>
      </c>
      <c r="I29" s="21">
        <v>18</v>
      </c>
      <c r="J29" s="21">
        <v>18</v>
      </c>
      <c r="K29" s="24"/>
      <c r="L29" s="21" t="s">
        <v>179</v>
      </c>
    </row>
    <row r="30" spans="1:12" ht="14.5" thickBot="1" x14ac:dyDescent="0.35">
      <c r="A30">
        <v>1231</v>
      </c>
      <c r="B30" s="21" t="s">
        <v>290</v>
      </c>
      <c r="C30" s="21" t="s">
        <v>289</v>
      </c>
      <c r="D30" s="21" t="s">
        <v>275</v>
      </c>
      <c r="E30" s="22">
        <v>45944</v>
      </c>
      <c r="F30" s="23">
        <v>0.49930555555555556</v>
      </c>
      <c r="G30" s="21" t="s">
        <v>276</v>
      </c>
      <c r="H30" s="21" t="s">
        <v>251</v>
      </c>
      <c r="I30" s="21">
        <v>36</v>
      </c>
      <c r="J30" s="21">
        <v>36</v>
      </c>
      <c r="K30" s="24"/>
      <c r="L30" s="21" t="s">
        <v>179</v>
      </c>
    </row>
    <row r="31" spans="1:12" ht="14.5" thickBot="1" x14ac:dyDescent="0.35">
      <c r="A31">
        <v>1231</v>
      </c>
      <c r="B31" s="21" t="s">
        <v>291</v>
      </c>
      <c r="C31" s="21" t="s">
        <v>175</v>
      </c>
      <c r="D31" s="21" t="s">
        <v>176</v>
      </c>
      <c r="E31" s="22">
        <v>45944</v>
      </c>
      <c r="F31" s="23">
        <v>0.35347222222222224</v>
      </c>
      <c r="G31" s="21" t="s">
        <v>292</v>
      </c>
      <c r="H31" s="21" t="s">
        <v>293</v>
      </c>
      <c r="I31" s="21">
        <v>72</v>
      </c>
      <c r="J31" s="21">
        <v>72</v>
      </c>
      <c r="K31" s="24"/>
      <c r="L31" s="21" t="s">
        <v>179</v>
      </c>
    </row>
    <row r="32" spans="1:12" ht="14.5" thickBot="1" x14ac:dyDescent="0.35">
      <c r="A32">
        <v>1231</v>
      </c>
      <c r="B32" s="21" t="s">
        <v>294</v>
      </c>
      <c r="C32" s="21" t="s">
        <v>175</v>
      </c>
      <c r="D32" s="21" t="s">
        <v>176</v>
      </c>
      <c r="E32" s="22">
        <v>45944</v>
      </c>
      <c r="F32" s="23">
        <v>0.52083333333333337</v>
      </c>
      <c r="G32" s="21" t="s">
        <v>292</v>
      </c>
      <c r="H32" s="21" t="s">
        <v>293</v>
      </c>
      <c r="I32" s="21">
        <v>45</v>
      </c>
      <c r="J32" s="21">
        <v>45</v>
      </c>
      <c r="K32" s="24"/>
      <c r="L32" s="21" t="s">
        <v>179</v>
      </c>
    </row>
    <row r="33" spans="1:12" ht="14.5" thickBot="1" x14ac:dyDescent="0.35">
      <c r="A33">
        <v>1231</v>
      </c>
      <c r="B33" s="21" t="s">
        <v>295</v>
      </c>
      <c r="C33" s="21" t="s">
        <v>175</v>
      </c>
      <c r="D33" s="21" t="s">
        <v>176</v>
      </c>
      <c r="E33" s="22">
        <v>45944</v>
      </c>
      <c r="F33" s="23">
        <v>0.64583333333333337</v>
      </c>
      <c r="G33" s="21" t="s">
        <v>292</v>
      </c>
      <c r="H33" s="21" t="s">
        <v>293</v>
      </c>
      <c r="I33" s="21">
        <v>45</v>
      </c>
      <c r="J33" s="21">
        <v>45</v>
      </c>
      <c r="K33" s="24"/>
      <c r="L33" s="21" t="s">
        <v>179</v>
      </c>
    </row>
    <row r="34" spans="1:12" ht="14.5" thickBot="1" x14ac:dyDescent="0.35">
      <c r="A34">
        <v>1231</v>
      </c>
      <c r="B34" s="21" t="s">
        <v>296</v>
      </c>
      <c r="C34" s="21" t="s">
        <v>175</v>
      </c>
      <c r="D34" s="21" t="s">
        <v>176</v>
      </c>
      <c r="E34" s="22">
        <v>45944</v>
      </c>
      <c r="F34" s="23">
        <v>0.77083333333333337</v>
      </c>
      <c r="G34" s="21" t="s">
        <v>292</v>
      </c>
      <c r="H34" s="21" t="s">
        <v>293</v>
      </c>
      <c r="I34" s="21">
        <v>81</v>
      </c>
      <c r="J34" s="21">
        <v>81</v>
      </c>
      <c r="K34" s="24"/>
      <c r="L34" s="21" t="s">
        <v>179</v>
      </c>
    </row>
    <row r="35" spans="1:12" ht="14.5" thickBot="1" x14ac:dyDescent="0.35">
      <c r="A35">
        <v>1231</v>
      </c>
      <c r="B35" s="21" t="s">
        <v>297</v>
      </c>
      <c r="C35" s="21" t="s">
        <v>175</v>
      </c>
      <c r="D35" s="21" t="s">
        <v>176</v>
      </c>
      <c r="E35" s="22">
        <v>45944</v>
      </c>
      <c r="F35" s="23">
        <v>0.89583333333333337</v>
      </c>
      <c r="G35" s="21" t="s">
        <v>292</v>
      </c>
      <c r="H35" s="21" t="s">
        <v>293</v>
      </c>
      <c r="I35" s="21">
        <v>36</v>
      </c>
      <c r="J35" s="21">
        <v>36</v>
      </c>
      <c r="K35" s="24"/>
      <c r="L35" s="21" t="s">
        <v>179</v>
      </c>
    </row>
    <row r="36" spans="1:12" ht="14.5" thickBot="1" x14ac:dyDescent="0.35">
      <c r="A36">
        <v>1231</v>
      </c>
      <c r="B36" s="21" t="s">
        <v>298</v>
      </c>
      <c r="C36" s="21" t="s">
        <v>299</v>
      </c>
      <c r="D36" s="21" t="s">
        <v>300</v>
      </c>
      <c r="E36" s="22">
        <v>45944</v>
      </c>
      <c r="F36" s="23">
        <v>0.34375</v>
      </c>
      <c r="G36" s="21" t="s">
        <v>292</v>
      </c>
      <c r="H36" s="21" t="s">
        <v>301</v>
      </c>
      <c r="I36" s="21">
        <v>135</v>
      </c>
      <c r="J36" s="21">
        <v>135</v>
      </c>
      <c r="K36" s="24"/>
      <c r="L36" s="21" t="s">
        <v>179</v>
      </c>
    </row>
    <row r="37" spans="1:12" ht="14.5" thickBot="1" x14ac:dyDescent="0.35">
      <c r="A37">
        <v>1231</v>
      </c>
      <c r="B37" s="21" t="s">
        <v>302</v>
      </c>
      <c r="C37" s="21" t="s">
        <v>299</v>
      </c>
      <c r="D37" s="21" t="s">
        <v>300</v>
      </c>
      <c r="E37" s="22">
        <v>45944</v>
      </c>
      <c r="F37" s="23">
        <v>0.35347222222222224</v>
      </c>
      <c r="G37" s="21" t="s">
        <v>292</v>
      </c>
      <c r="H37" s="21" t="s">
        <v>303</v>
      </c>
      <c r="I37" s="21">
        <v>27</v>
      </c>
      <c r="J37" s="21">
        <v>27</v>
      </c>
      <c r="K37" s="24"/>
      <c r="L37" s="21" t="s">
        <v>179</v>
      </c>
    </row>
    <row r="38" spans="1:12" ht="14.5" thickBot="1" x14ac:dyDescent="0.35">
      <c r="A38">
        <v>1231</v>
      </c>
      <c r="B38" s="21" t="s">
        <v>304</v>
      </c>
      <c r="C38" s="21" t="s">
        <v>299</v>
      </c>
      <c r="D38" s="21" t="s">
        <v>300</v>
      </c>
      <c r="E38" s="22">
        <v>45944</v>
      </c>
      <c r="F38" s="23">
        <v>0.49930555555555556</v>
      </c>
      <c r="G38" s="21" t="s">
        <v>292</v>
      </c>
      <c r="H38" s="21" t="s">
        <v>301</v>
      </c>
      <c r="I38" s="21">
        <v>144</v>
      </c>
      <c r="J38" s="21">
        <v>144</v>
      </c>
      <c r="K38" s="24"/>
      <c r="L38" s="21" t="s">
        <v>179</v>
      </c>
    </row>
    <row r="39" spans="1:12" ht="14.5" thickBot="1" x14ac:dyDescent="0.35">
      <c r="A39">
        <v>1231</v>
      </c>
      <c r="B39" s="21" t="s">
        <v>305</v>
      </c>
      <c r="C39" s="21" t="s">
        <v>299</v>
      </c>
      <c r="D39" s="21" t="s">
        <v>300</v>
      </c>
      <c r="E39" s="22">
        <v>45944</v>
      </c>
      <c r="F39" s="23">
        <v>0.52083333333333337</v>
      </c>
      <c r="G39" s="21" t="s">
        <v>292</v>
      </c>
      <c r="H39" s="21" t="s">
        <v>303</v>
      </c>
      <c r="I39" s="21">
        <v>18</v>
      </c>
      <c r="J39" s="21">
        <v>18</v>
      </c>
      <c r="K39" s="24"/>
      <c r="L39" s="21" t="s">
        <v>179</v>
      </c>
    </row>
    <row r="40" spans="1:12" ht="14.5" thickBot="1" x14ac:dyDescent="0.35">
      <c r="A40">
        <v>1231</v>
      </c>
      <c r="B40" s="21" t="s">
        <v>306</v>
      </c>
      <c r="C40" s="21" t="s">
        <v>299</v>
      </c>
      <c r="D40" s="21" t="s">
        <v>300</v>
      </c>
      <c r="E40" s="22">
        <v>45944</v>
      </c>
      <c r="F40" s="23">
        <v>0.63472222222222219</v>
      </c>
      <c r="G40" s="21" t="s">
        <v>292</v>
      </c>
      <c r="H40" s="21" t="s">
        <v>301</v>
      </c>
      <c r="I40" s="21">
        <v>144</v>
      </c>
      <c r="J40" s="21">
        <v>144</v>
      </c>
      <c r="K40" s="24"/>
      <c r="L40" s="21" t="s">
        <v>179</v>
      </c>
    </row>
    <row r="41" spans="1:12" ht="14.5" thickBot="1" x14ac:dyDescent="0.35">
      <c r="A41">
        <v>1231</v>
      </c>
      <c r="B41" s="21" t="s">
        <v>307</v>
      </c>
      <c r="C41" s="21" t="s">
        <v>299</v>
      </c>
      <c r="D41" s="21" t="s">
        <v>300</v>
      </c>
      <c r="E41" s="22">
        <v>45944</v>
      </c>
      <c r="F41" s="23">
        <v>0.64583333333333337</v>
      </c>
      <c r="G41" s="21" t="s">
        <v>292</v>
      </c>
      <c r="H41" s="21" t="s">
        <v>303</v>
      </c>
      <c r="I41" s="21">
        <v>18</v>
      </c>
      <c r="J41" s="21">
        <v>18</v>
      </c>
      <c r="K41" s="24"/>
      <c r="L41" s="21" t="s">
        <v>179</v>
      </c>
    </row>
    <row r="42" spans="1:12" ht="14.5" thickBot="1" x14ac:dyDescent="0.35">
      <c r="A42">
        <v>1231</v>
      </c>
      <c r="B42" s="21" t="s">
        <v>308</v>
      </c>
      <c r="C42" s="21" t="s">
        <v>299</v>
      </c>
      <c r="D42" s="21" t="s">
        <v>300</v>
      </c>
      <c r="E42" s="22">
        <v>45944</v>
      </c>
      <c r="F42" s="23">
        <v>0.77083333333333337</v>
      </c>
      <c r="G42" s="21" t="s">
        <v>292</v>
      </c>
      <c r="H42" s="21" t="s">
        <v>303</v>
      </c>
      <c r="I42" s="21">
        <v>36</v>
      </c>
      <c r="J42" s="21">
        <v>36</v>
      </c>
      <c r="K42" s="24"/>
      <c r="L42" s="21" t="s">
        <v>179</v>
      </c>
    </row>
    <row r="43" spans="1:12" ht="14.5" thickBot="1" x14ac:dyDescent="0.35">
      <c r="A43">
        <v>1231</v>
      </c>
      <c r="B43" s="21" t="s">
        <v>309</v>
      </c>
      <c r="C43" s="21" t="s">
        <v>299</v>
      </c>
      <c r="D43" s="21" t="s">
        <v>300</v>
      </c>
      <c r="E43" s="22">
        <v>45944</v>
      </c>
      <c r="F43" s="23">
        <v>0.77152777777777781</v>
      </c>
      <c r="G43" s="21" t="s">
        <v>292</v>
      </c>
      <c r="H43" s="21" t="s">
        <v>301</v>
      </c>
      <c r="I43" s="21">
        <v>108</v>
      </c>
      <c r="J43" s="21">
        <v>108</v>
      </c>
      <c r="K43" s="24"/>
      <c r="L43" s="21" t="s">
        <v>179</v>
      </c>
    </row>
    <row r="44" spans="1:12" ht="14.5" thickBot="1" x14ac:dyDescent="0.35">
      <c r="A44">
        <v>1231</v>
      </c>
      <c r="B44" s="21" t="s">
        <v>310</v>
      </c>
      <c r="C44" s="21" t="s">
        <v>299</v>
      </c>
      <c r="D44" s="21" t="s">
        <v>300</v>
      </c>
      <c r="E44" s="22">
        <v>45944</v>
      </c>
      <c r="F44" s="23">
        <v>0.89583333333333337</v>
      </c>
      <c r="G44" s="21" t="s">
        <v>292</v>
      </c>
      <c r="H44" s="21" t="s">
        <v>301</v>
      </c>
      <c r="I44" s="21">
        <v>117</v>
      </c>
      <c r="J44" s="21">
        <v>117</v>
      </c>
      <c r="K44" s="24"/>
      <c r="L44" s="21" t="s">
        <v>179</v>
      </c>
    </row>
    <row r="45" spans="1:12" ht="14.5" thickBot="1" x14ac:dyDescent="0.35">
      <c r="A45">
        <v>1231</v>
      </c>
      <c r="B45" s="21" t="s">
        <v>311</v>
      </c>
      <c r="C45" s="21" t="s">
        <v>299</v>
      </c>
      <c r="D45" s="21" t="s">
        <v>300</v>
      </c>
      <c r="E45" s="22">
        <v>45944</v>
      </c>
      <c r="F45" s="23">
        <v>0.89583333333333337</v>
      </c>
      <c r="G45" s="21" t="s">
        <v>292</v>
      </c>
      <c r="H45" s="21" t="s">
        <v>303</v>
      </c>
      <c r="I45" s="21">
        <v>27</v>
      </c>
      <c r="J45" s="21">
        <v>27</v>
      </c>
      <c r="K45" s="24"/>
      <c r="L45" s="21" t="s">
        <v>179</v>
      </c>
    </row>
    <row r="46" spans="1:12" ht="14.5" thickBot="1" x14ac:dyDescent="0.35">
      <c r="A46">
        <v>1231</v>
      </c>
      <c r="B46" s="21" t="s">
        <v>312</v>
      </c>
      <c r="C46" s="21" t="s">
        <v>299</v>
      </c>
      <c r="D46" s="21" t="s">
        <v>300</v>
      </c>
      <c r="E46" s="22">
        <v>45944</v>
      </c>
      <c r="F46" s="23">
        <v>0.89652777777777781</v>
      </c>
      <c r="G46" s="21" t="s">
        <v>292</v>
      </c>
      <c r="H46" s="21" t="s">
        <v>301</v>
      </c>
      <c r="I46" s="21">
        <v>99</v>
      </c>
      <c r="J46" s="21">
        <v>99</v>
      </c>
      <c r="K46" s="24"/>
      <c r="L46" s="21" t="s">
        <v>179</v>
      </c>
    </row>
    <row r="47" spans="1:12" ht="14.5" thickBot="1" x14ac:dyDescent="0.35">
      <c r="A47">
        <v>1231</v>
      </c>
      <c r="B47" s="21" t="s">
        <v>313</v>
      </c>
      <c r="C47" s="21" t="s">
        <v>314</v>
      </c>
      <c r="D47" s="21" t="s">
        <v>300</v>
      </c>
      <c r="E47" s="22">
        <v>45944</v>
      </c>
      <c r="F47" s="23">
        <v>0.34375</v>
      </c>
      <c r="G47" s="21" t="s">
        <v>292</v>
      </c>
      <c r="H47" s="21" t="s">
        <v>301</v>
      </c>
      <c r="I47" s="21">
        <v>27</v>
      </c>
      <c r="J47" s="21">
        <v>27</v>
      </c>
      <c r="K47" s="24"/>
      <c r="L47" s="21" t="s">
        <v>179</v>
      </c>
    </row>
    <row r="48" spans="1:12" ht="14.5" thickBot="1" x14ac:dyDescent="0.35">
      <c r="A48">
        <v>1231</v>
      </c>
      <c r="B48" s="21" t="s">
        <v>315</v>
      </c>
      <c r="C48" s="21" t="s">
        <v>314</v>
      </c>
      <c r="D48" s="21" t="s">
        <v>300</v>
      </c>
      <c r="E48" s="22">
        <v>45944</v>
      </c>
      <c r="F48" s="23">
        <v>0.49930555555555556</v>
      </c>
      <c r="G48" s="21" t="s">
        <v>292</v>
      </c>
      <c r="H48" s="21" t="s">
        <v>301</v>
      </c>
      <c r="I48" s="21">
        <v>27</v>
      </c>
      <c r="J48" s="21">
        <v>27</v>
      </c>
      <c r="K48" s="24"/>
      <c r="L48" s="21" t="s">
        <v>179</v>
      </c>
    </row>
    <row r="49" spans="1:12" ht="14.5" thickBot="1" x14ac:dyDescent="0.35">
      <c r="A49">
        <v>1231</v>
      </c>
      <c r="B49" s="21" t="s">
        <v>316</v>
      </c>
      <c r="C49" s="21" t="s">
        <v>314</v>
      </c>
      <c r="D49" s="21" t="s">
        <v>300</v>
      </c>
      <c r="E49" s="22">
        <v>45944</v>
      </c>
      <c r="F49" s="23">
        <v>0.63472222222222219</v>
      </c>
      <c r="G49" s="21" t="s">
        <v>292</v>
      </c>
      <c r="H49" s="21" t="s">
        <v>301</v>
      </c>
      <c r="I49" s="21">
        <v>27</v>
      </c>
      <c r="J49" s="21">
        <v>27</v>
      </c>
      <c r="K49" s="24"/>
      <c r="L49" s="21" t="s">
        <v>179</v>
      </c>
    </row>
    <row r="50" spans="1:12" ht="14.5" thickBot="1" x14ac:dyDescent="0.35">
      <c r="A50">
        <v>1231</v>
      </c>
      <c r="B50" s="21" t="s">
        <v>317</v>
      </c>
      <c r="C50" s="21" t="s">
        <v>314</v>
      </c>
      <c r="D50" s="21" t="s">
        <v>300</v>
      </c>
      <c r="E50" s="22">
        <v>45944</v>
      </c>
      <c r="F50" s="23">
        <v>0.77152777777777781</v>
      </c>
      <c r="G50" s="21" t="s">
        <v>292</v>
      </c>
      <c r="H50" s="21" t="s">
        <v>301</v>
      </c>
      <c r="I50" s="21">
        <v>9</v>
      </c>
      <c r="J50" s="21">
        <v>9</v>
      </c>
      <c r="K50" s="24"/>
      <c r="L50" s="21" t="s">
        <v>179</v>
      </c>
    </row>
    <row r="51" spans="1:12" ht="14.5" thickBot="1" x14ac:dyDescent="0.35">
      <c r="A51">
        <v>1231</v>
      </c>
      <c r="B51" s="21" t="s">
        <v>318</v>
      </c>
      <c r="C51" s="21" t="s">
        <v>314</v>
      </c>
      <c r="D51" s="21" t="s">
        <v>300</v>
      </c>
      <c r="E51" s="22">
        <v>45944</v>
      </c>
      <c r="F51" s="23">
        <v>0.89583333333333337</v>
      </c>
      <c r="G51" s="21" t="s">
        <v>292</v>
      </c>
      <c r="H51" s="21" t="s">
        <v>301</v>
      </c>
      <c r="I51" s="21">
        <v>27</v>
      </c>
      <c r="J51" s="21">
        <v>27</v>
      </c>
      <c r="K51" s="24"/>
      <c r="L51" s="21" t="s">
        <v>179</v>
      </c>
    </row>
    <row r="52" spans="1:12" ht="14.5" thickBot="1" x14ac:dyDescent="0.35">
      <c r="A52">
        <v>1231</v>
      </c>
      <c r="B52" s="21" t="s">
        <v>319</v>
      </c>
      <c r="C52" s="21" t="s">
        <v>314</v>
      </c>
      <c r="D52" s="21" t="s">
        <v>300</v>
      </c>
      <c r="E52" s="22">
        <v>45944</v>
      </c>
      <c r="F52" s="23">
        <v>0.89652777777777781</v>
      </c>
      <c r="G52" s="21" t="s">
        <v>292</v>
      </c>
      <c r="H52" s="21" t="s">
        <v>301</v>
      </c>
      <c r="I52" s="21">
        <v>18</v>
      </c>
      <c r="J52" s="21">
        <v>18</v>
      </c>
      <c r="K52" s="24"/>
      <c r="L52" s="21" t="s">
        <v>179</v>
      </c>
    </row>
    <row r="53" spans="1:12" ht="14.5" thickBot="1" x14ac:dyDescent="0.35">
      <c r="A53">
        <v>1231</v>
      </c>
      <c r="B53" s="21" t="s">
        <v>320</v>
      </c>
      <c r="C53" s="21" t="s">
        <v>321</v>
      </c>
      <c r="D53" s="21" t="s">
        <v>185</v>
      </c>
      <c r="E53" s="22">
        <v>45944</v>
      </c>
      <c r="F53" s="23">
        <v>0.34375</v>
      </c>
      <c r="G53" s="21" t="s">
        <v>322</v>
      </c>
      <c r="H53" s="21" t="s">
        <v>247</v>
      </c>
      <c r="I53" s="21">
        <v>78</v>
      </c>
      <c r="J53" s="21">
        <v>78</v>
      </c>
      <c r="K53" s="24"/>
      <c r="L53" s="21" t="s">
        <v>179</v>
      </c>
    </row>
    <row r="54" spans="1:12" ht="14.5" thickBot="1" x14ac:dyDescent="0.35">
      <c r="A54">
        <v>1231</v>
      </c>
      <c r="B54" s="21" t="s">
        <v>323</v>
      </c>
      <c r="C54" s="21" t="s">
        <v>321</v>
      </c>
      <c r="D54" s="21" t="s">
        <v>185</v>
      </c>
      <c r="E54" s="22">
        <v>45944</v>
      </c>
      <c r="F54" s="23">
        <v>0.49930555555555556</v>
      </c>
      <c r="G54" s="21" t="s">
        <v>322</v>
      </c>
      <c r="H54" s="21" t="s">
        <v>247</v>
      </c>
      <c r="I54" s="21">
        <v>48</v>
      </c>
      <c r="J54" s="21">
        <v>48</v>
      </c>
      <c r="K54" s="24"/>
      <c r="L54" s="21" t="s">
        <v>179</v>
      </c>
    </row>
    <row r="55" spans="1:12" ht="14.5" thickBot="1" x14ac:dyDescent="0.35">
      <c r="A55">
        <v>1231</v>
      </c>
      <c r="B55" s="21" t="s">
        <v>324</v>
      </c>
      <c r="C55" s="21" t="s">
        <v>325</v>
      </c>
      <c r="D55" s="21" t="s">
        <v>185</v>
      </c>
      <c r="E55" s="22">
        <v>45944</v>
      </c>
      <c r="F55" s="23">
        <v>0.34375</v>
      </c>
      <c r="G55" s="21" t="s">
        <v>322</v>
      </c>
      <c r="H55" s="21" t="s">
        <v>247</v>
      </c>
      <c r="I55" s="21">
        <v>90</v>
      </c>
      <c r="J55" s="21">
        <v>90</v>
      </c>
      <c r="K55" s="24"/>
      <c r="L55" s="21" t="s">
        <v>179</v>
      </c>
    </row>
    <row r="56" spans="1:12" ht="14.5" thickBot="1" x14ac:dyDescent="0.35">
      <c r="A56">
        <v>1231</v>
      </c>
      <c r="B56" s="21" t="s">
        <v>326</v>
      </c>
      <c r="C56" s="21" t="s">
        <v>325</v>
      </c>
      <c r="D56" s="21" t="s">
        <v>185</v>
      </c>
      <c r="E56" s="22">
        <v>45944</v>
      </c>
      <c r="F56" s="23">
        <v>0.49930555555555556</v>
      </c>
      <c r="G56" s="21" t="s">
        <v>322</v>
      </c>
      <c r="H56" s="21" t="s">
        <v>247</v>
      </c>
      <c r="I56" s="21">
        <v>36</v>
      </c>
      <c r="J56" s="21">
        <v>36</v>
      </c>
      <c r="K56" s="24"/>
      <c r="L56" s="21" t="s">
        <v>179</v>
      </c>
    </row>
    <row r="57" spans="1:12" ht="14.5" thickBot="1" x14ac:dyDescent="0.35">
      <c r="A57">
        <v>1231</v>
      </c>
      <c r="B57" s="21" t="s">
        <v>327</v>
      </c>
      <c r="C57" s="21" t="s">
        <v>184</v>
      </c>
      <c r="D57" s="21" t="s">
        <v>185</v>
      </c>
      <c r="E57" s="22">
        <v>45944</v>
      </c>
      <c r="F57" s="23">
        <v>0.35347222222222224</v>
      </c>
      <c r="G57" s="21" t="s">
        <v>328</v>
      </c>
      <c r="H57" s="21" t="s">
        <v>293</v>
      </c>
      <c r="I57" s="21">
        <v>68</v>
      </c>
      <c r="J57" s="21">
        <v>68</v>
      </c>
      <c r="K57" s="24"/>
      <c r="L57" s="21" t="s">
        <v>179</v>
      </c>
    </row>
    <row r="58" spans="1:12" ht="14.5" thickBot="1" x14ac:dyDescent="0.35">
      <c r="A58">
        <v>1231</v>
      </c>
      <c r="B58" s="21" t="s">
        <v>329</v>
      </c>
      <c r="C58" s="21" t="s">
        <v>184</v>
      </c>
      <c r="D58" s="21" t="s">
        <v>185</v>
      </c>
      <c r="E58" s="22">
        <v>45944</v>
      </c>
      <c r="F58" s="23">
        <v>0.52083333333333337</v>
      </c>
      <c r="G58" s="21" t="s">
        <v>328</v>
      </c>
      <c r="H58" s="21" t="s">
        <v>293</v>
      </c>
      <c r="I58" s="21">
        <v>44</v>
      </c>
      <c r="J58" s="21">
        <v>44</v>
      </c>
      <c r="K58" s="24"/>
      <c r="L58" s="21" t="s">
        <v>179</v>
      </c>
    </row>
    <row r="59" spans="1:12" ht="14.5" thickBot="1" x14ac:dyDescent="0.35">
      <c r="A59">
        <v>1231</v>
      </c>
      <c r="B59" s="21" t="s">
        <v>330</v>
      </c>
      <c r="C59" s="21" t="s">
        <v>184</v>
      </c>
      <c r="D59" s="21" t="s">
        <v>185</v>
      </c>
      <c r="E59" s="22">
        <v>45944</v>
      </c>
      <c r="F59" s="23">
        <v>0.64583333333333337</v>
      </c>
      <c r="G59" s="21" t="s">
        <v>328</v>
      </c>
      <c r="H59" s="21" t="s">
        <v>293</v>
      </c>
      <c r="I59" s="21">
        <v>44</v>
      </c>
      <c r="J59" s="21">
        <v>44</v>
      </c>
      <c r="K59" s="24"/>
      <c r="L59" s="21" t="s">
        <v>179</v>
      </c>
    </row>
    <row r="60" spans="1:12" ht="14.5" thickBot="1" x14ac:dyDescent="0.35">
      <c r="A60">
        <v>1231</v>
      </c>
      <c r="B60" s="21" t="s">
        <v>331</v>
      </c>
      <c r="C60" s="21" t="s">
        <v>184</v>
      </c>
      <c r="D60" s="21" t="s">
        <v>185</v>
      </c>
      <c r="E60" s="22">
        <v>45944</v>
      </c>
      <c r="F60" s="23">
        <v>0.77083333333333337</v>
      </c>
      <c r="G60" s="21" t="s">
        <v>328</v>
      </c>
      <c r="H60" s="21" t="s">
        <v>293</v>
      </c>
      <c r="I60" s="21">
        <v>84</v>
      </c>
      <c r="J60" s="21">
        <v>84</v>
      </c>
      <c r="K60" s="24"/>
      <c r="L60" s="21" t="s">
        <v>179</v>
      </c>
    </row>
    <row r="61" spans="1:12" ht="14.5" thickBot="1" x14ac:dyDescent="0.35">
      <c r="A61">
        <v>1231</v>
      </c>
      <c r="B61" s="21" t="s">
        <v>332</v>
      </c>
      <c r="C61" s="21" t="s">
        <v>184</v>
      </c>
      <c r="D61" s="21" t="s">
        <v>185</v>
      </c>
      <c r="E61" s="22">
        <v>45944</v>
      </c>
      <c r="F61" s="23">
        <v>0.89583333333333337</v>
      </c>
      <c r="G61" s="21" t="s">
        <v>282</v>
      </c>
      <c r="H61" s="21" t="s">
        <v>333</v>
      </c>
      <c r="I61" s="21">
        <v>4</v>
      </c>
      <c r="J61" s="21">
        <v>4</v>
      </c>
      <c r="K61" s="24"/>
      <c r="L61" s="21" t="s">
        <v>179</v>
      </c>
    </row>
    <row r="62" spans="1:12" ht="14.5" thickBot="1" x14ac:dyDescent="0.35">
      <c r="A62">
        <v>1231</v>
      </c>
      <c r="B62" s="21" t="s">
        <v>334</v>
      </c>
      <c r="C62" s="21" t="s">
        <v>184</v>
      </c>
      <c r="D62" s="21" t="s">
        <v>185</v>
      </c>
      <c r="E62" s="22">
        <v>45944</v>
      </c>
      <c r="F62" s="23">
        <v>0.89583333333333337</v>
      </c>
      <c r="G62" s="21" t="s">
        <v>328</v>
      </c>
      <c r="H62" s="21" t="s">
        <v>293</v>
      </c>
      <c r="I62" s="21">
        <v>36</v>
      </c>
      <c r="J62" s="21">
        <v>36</v>
      </c>
      <c r="K62" s="24"/>
      <c r="L62" s="21" t="s">
        <v>179</v>
      </c>
    </row>
    <row r="63" spans="1:12" ht="14.5" thickBot="1" x14ac:dyDescent="0.35">
      <c r="A63">
        <v>1231</v>
      </c>
      <c r="B63" s="21" t="s">
        <v>335</v>
      </c>
      <c r="C63" s="21" t="s">
        <v>336</v>
      </c>
      <c r="D63" s="21" t="s">
        <v>337</v>
      </c>
      <c r="E63" s="22">
        <v>45944</v>
      </c>
      <c r="F63" s="23">
        <v>0.34375</v>
      </c>
      <c r="G63" s="21" t="s">
        <v>282</v>
      </c>
      <c r="H63" s="21" t="s">
        <v>301</v>
      </c>
      <c r="I63" s="21">
        <v>168</v>
      </c>
      <c r="J63" s="21">
        <v>168</v>
      </c>
      <c r="K63" s="24"/>
      <c r="L63" s="21" t="s">
        <v>179</v>
      </c>
    </row>
    <row r="64" spans="1:12" ht="14.5" thickBot="1" x14ac:dyDescent="0.35">
      <c r="A64">
        <v>1231</v>
      </c>
      <c r="B64" s="21" t="s">
        <v>338</v>
      </c>
      <c r="C64" s="21" t="s">
        <v>336</v>
      </c>
      <c r="D64" s="21" t="s">
        <v>337</v>
      </c>
      <c r="E64" s="22">
        <v>45944</v>
      </c>
      <c r="F64" s="23">
        <v>0.35347222222222224</v>
      </c>
      <c r="G64" s="21" t="s">
        <v>328</v>
      </c>
      <c r="H64" s="21" t="s">
        <v>303</v>
      </c>
      <c r="I64" s="21">
        <v>28</v>
      </c>
      <c r="J64" s="21">
        <v>28</v>
      </c>
      <c r="K64" s="24"/>
      <c r="L64" s="21" t="s">
        <v>179</v>
      </c>
    </row>
    <row r="65" spans="1:12" ht="14.5" thickBot="1" x14ac:dyDescent="0.35">
      <c r="A65">
        <v>1231</v>
      </c>
      <c r="B65" s="21" t="s">
        <v>339</v>
      </c>
      <c r="C65" s="21" t="s">
        <v>336</v>
      </c>
      <c r="D65" s="21" t="s">
        <v>337</v>
      </c>
      <c r="E65" s="22">
        <v>45944</v>
      </c>
      <c r="F65" s="23">
        <v>0.35347222222222224</v>
      </c>
      <c r="G65" s="21" t="s">
        <v>322</v>
      </c>
      <c r="H65" s="21" t="s">
        <v>340</v>
      </c>
      <c r="I65" s="21">
        <v>8</v>
      </c>
      <c r="J65" s="21">
        <v>8</v>
      </c>
      <c r="K65" s="24"/>
      <c r="L65" s="21" t="s">
        <v>179</v>
      </c>
    </row>
    <row r="66" spans="1:12" ht="14.5" thickBot="1" x14ac:dyDescent="0.35">
      <c r="A66">
        <v>1231</v>
      </c>
      <c r="B66" s="21" t="s">
        <v>341</v>
      </c>
      <c r="C66" s="21" t="s">
        <v>336</v>
      </c>
      <c r="D66" s="21" t="s">
        <v>337</v>
      </c>
      <c r="E66" s="22">
        <v>45944</v>
      </c>
      <c r="F66" s="23">
        <v>0.49930555555555556</v>
      </c>
      <c r="G66" s="21" t="s">
        <v>282</v>
      </c>
      <c r="H66" s="21" t="s">
        <v>301</v>
      </c>
      <c r="I66" s="21">
        <v>168</v>
      </c>
      <c r="J66" s="21">
        <v>168</v>
      </c>
      <c r="K66" s="24"/>
      <c r="L66" s="21" t="s">
        <v>179</v>
      </c>
    </row>
    <row r="67" spans="1:12" ht="14.5" thickBot="1" x14ac:dyDescent="0.35">
      <c r="A67">
        <v>1231</v>
      </c>
      <c r="B67" s="21" t="s">
        <v>342</v>
      </c>
      <c r="C67" s="21" t="s">
        <v>336</v>
      </c>
      <c r="D67" s="21" t="s">
        <v>337</v>
      </c>
      <c r="E67" s="22">
        <v>45944</v>
      </c>
      <c r="F67" s="23">
        <v>0.52083333333333337</v>
      </c>
      <c r="G67" s="21" t="s">
        <v>328</v>
      </c>
      <c r="H67" s="21" t="s">
        <v>303</v>
      </c>
      <c r="I67" s="21">
        <v>20</v>
      </c>
      <c r="J67" s="21">
        <v>20</v>
      </c>
      <c r="K67" s="24"/>
      <c r="L67" s="21" t="s">
        <v>179</v>
      </c>
    </row>
    <row r="68" spans="1:12" ht="14.5" thickBot="1" x14ac:dyDescent="0.35">
      <c r="A68">
        <v>1231</v>
      </c>
      <c r="B68" s="21" t="s">
        <v>343</v>
      </c>
      <c r="C68" s="21" t="s">
        <v>336</v>
      </c>
      <c r="D68" s="21" t="s">
        <v>337</v>
      </c>
      <c r="E68" s="22">
        <v>45944</v>
      </c>
      <c r="F68" s="23">
        <v>0.63472222222222219</v>
      </c>
      <c r="G68" s="21" t="s">
        <v>282</v>
      </c>
      <c r="H68" s="21" t="s">
        <v>301</v>
      </c>
      <c r="I68" s="21">
        <v>168</v>
      </c>
      <c r="J68" s="21">
        <v>168</v>
      </c>
      <c r="K68" s="24"/>
      <c r="L68" s="21" t="s">
        <v>179</v>
      </c>
    </row>
    <row r="69" spans="1:12" ht="14.5" thickBot="1" x14ac:dyDescent="0.35">
      <c r="A69">
        <v>1231</v>
      </c>
      <c r="B69" s="21" t="s">
        <v>344</v>
      </c>
      <c r="C69" s="21" t="s">
        <v>336</v>
      </c>
      <c r="D69" s="21" t="s">
        <v>337</v>
      </c>
      <c r="E69" s="22">
        <v>45944</v>
      </c>
      <c r="F69" s="23">
        <v>0.64583333333333337</v>
      </c>
      <c r="G69" s="21" t="s">
        <v>328</v>
      </c>
      <c r="H69" s="21" t="s">
        <v>303</v>
      </c>
      <c r="I69" s="21">
        <v>16</v>
      </c>
      <c r="J69" s="21">
        <v>16</v>
      </c>
      <c r="K69" s="24"/>
      <c r="L69" s="21" t="s">
        <v>179</v>
      </c>
    </row>
    <row r="70" spans="1:12" ht="14.5" thickBot="1" x14ac:dyDescent="0.35">
      <c r="A70">
        <v>1231</v>
      </c>
      <c r="B70" s="21" t="s">
        <v>345</v>
      </c>
      <c r="C70" s="21" t="s">
        <v>336</v>
      </c>
      <c r="D70" s="21" t="s">
        <v>337</v>
      </c>
      <c r="E70" s="22">
        <v>45944</v>
      </c>
      <c r="F70" s="23">
        <v>0.77083333333333337</v>
      </c>
      <c r="G70" s="21" t="s">
        <v>328</v>
      </c>
      <c r="H70" s="21" t="s">
        <v>303</v>
      </c>
      <c r="I70" s="21">
        <v>40</v>
      </c>
      <c r="J70" s="21">
        <v>40</v>
      </c>
      <c r="K70" s="24"/>
      <c r="L70" s="21" t="s">
        <v>179</v>
      </c>
    </row>
    <row r="71" spans="1:12" ht="14.5" thickBot="1" x14ac:dyDescent="0.35">
      <c r="A71">
        <v>1231</v>
      </c>
      <c r="B71" s="21" t="s">
        <v>346</v>
      </c>
      <c r="C71" s="21" t="s">
        <v>336</v>
      </c>
      <c r="D71" s="21" t="s">
        <v>337</v>
      </c>
      <c r="E71" s="22">
        <v>45944</v>
      </c>
      <c r="F71" s="23">
        <v>0.77152777777777781</v>
      </c>
      <c r="G71" s="21" t="s">
        <v>282</v>
      </c>
      <c r="H71" s="21" t="s">
        <v>301</v>
      </c>
      <c r="I71" s="21">
        <v>120</v>
      </c>
      <c r="J71" s="21">
        <v>120</v>
      </c>
      <c r="K71" s="24"/>
      <c r="L71" s="21" t="s">
        <v>179</v>
      </c>
    </row>
    <row r="72" spans="1:12" ht="14.5" thickBot="1" x14ac:dyDescent="0.35">
      <c r="A72">
        <v>1231</v>
      </c>
      <c r="B72" s="21" t="s">
        <v>347</v>
      </c>
      <c r="C72" s="21" t="s">
        <v>336</v>
      </c>
      <c r="D72" s="21" t="s">
        <v>337</v>
      </c>
      <c r="E72" s="22">
        <v>45944</v>
      </c>
      <c r="F72" s="23">
        <v>0.89583333333333337</v>
      </c>
      <c r="G72" s="21" t="s">
        <v>282</v>
      </c>
      <c r="H72" s="21" t="s">
        <v>301</v>
      </c>
      <c r="I72" s="21">
        <v>140</v>
      </c>
      <c r="J72" s="21">
        <v>140</v>
      </c>
      <c r="K72" s="24"/>
      <c r="L72" s="21" t="s">
        <v>179</v>
      </c>
    </row>
    <row r="73" spans="1:12" ht="14.5" thickBot="1" x14ac:dyDescent="0.35">
      <c r="A73">
        <v>1231</v>
      </c>
      <c r="B73" s="21" t="s">
        <v>348</v>
      </c>
      <c r="C73" s="21" t="s">
        <v>336</v>
      </c>
      <c r="D73" s="21" t="s">
        <v>337</v>
      </c>
      <c r="E73" s="22">
        <v>45944</v>
      </c>
      <c r="F73" s="23">
        <v>0.89583333333333337</v>
      </c>
      <c r="G73" s="21" t="s">
        <v>328</v>
      </c>
      <c r="H73" s="21" t="s">
        <v>303</v>
      </c>
      <c r="I73" s="21">
        <v>24</v>
      </c>
      <c r="J73" s="21">
        <v>24</v>
      </c>
      <c r="K73" s="24"/>
      <c r="L73" s="21" t="s">
        <v>179</v>
      </c>
    </row>
    <row r="74" spans="1:12" ht="14.5" thickBot="1" x14ac:dyDescent="0.35">
      <c r="A74">
        <v>1231</v>
      </c>
      <c r="B74" s="21" t="s">
        <v>349</v>
      </c>
      <c r="C74" s="21" t="s">
        <v>336</v>
      </c>
      <c r="D74" s="21" t="s">
        <v>337</v>
      </c>
      <c r="E74" s="22">
        <v>45944</v>
      </c>
      <c r="F74" s="23">
        <v>0.89652777777777781</v>
      </c>
      <c r="G74" s="21" t="s">
        <v>282</v>
      </c>
      <c r="H74" s="21" t="s">
        <v>301</v>
      </c>
      <c r="I74" s="21">
        <v>120</v>
      </c>
      <c r="J74" s="21">
        <v>120</v>
      </c>
      <c r="K74" s="24"/>
      <c r="L74" s="21" t="s">
        <v>179</v>
      </c>
    </row>
    <row r="75" spans="1:12" ht="14.5" thickBot="1" x14ac:dyDescent="0.35">
      <c r="A75">
        <v>1231</v>
      </c>
      <c r="B75" s="21" t="s">
        <v>350</v>
      </c>
      <c r="C75" s="21" t="s">
        <v>351</v>
      </c>
      <c r="D75" s="21" t="s">
        <v>337</v>
      </c>
      <c r="E75" s="22">
        <v>45944</v>
      </c>
      <c r="F75" s="23">
        <v>0.34375</v>
      </c>
      <c r="G75" s="21" t="s">
        <v>322</v>
      </c>
      <c r="H75" s="21" t="s">
        <v>251</v>
      </c>
      <c r="I75" s="21">
        <v>76</v>
      </c>
      <c r="J75" s="21">
        <v>76</v>
      </c>
      <c r="K75" s="24"/>
      <c r="L75" s="21" t="s">
        <v>179</v>
      </c>
    </row>
    <row r="76" spans="1:12" ht="14.5" thickBot="1" x14ac:dyDescent="0.35">
      <c r="A76">
        <v>1231</v>
      </c>
      <c r="B76" s="21" t="s">
        <v>352</v>
      </c>
      <c r="C76" s="21" t="s">
        <v>351</v>
      </c>
      <c r="D76" s="21" t="s">
        <v>337</v>
      </c>
      <c r="E76" s="22">
        <v>45944</v>
      </c>
      <c r="F76" s="23">
        <v>0.49930555555555556</v>
      </c>
      <c r="G76" s="21" t="s">
        <v>322</v>
      </c>
      <c r="H76" s="21" t="s">
        <v>251</v>
      </c>
      <c r="I76" s="21">
        <v>48</v>
      </c>
      <c r="J76" s="21">
        <v>48</v>
      </c>
      <c r="K76" s="24"/>
      <c r="L76" s="21" t="s">
        <v>179</v>
      </c>
    </row>
    <row r="77" spans="1:12" ht="14.5" thickBot="1" x14ac:dyDescent="0.35">
      <c r="A77">
        <v>1231</v>
      </c>
      <c r="B77" s="21" t="s">
        <v>353</v>
      </c>
      <c r="C77" s="21" t="s">
        <v>354</v>
      </c>
      <c r="D77" s="21" t="s">
        <v>337</v>
      </c>
      <c r="E77" s="22">
        <v>45944</v>
      </c>
      <c r="F77" s="23">
        <v>0.34375</v>
      </c>
      <c r="G77" s="21" t="s">
        <v>355</v>
      </c>
      <c r="H77" s="21" t="s">
        <v>251</v>
      </c>
      <c r="I77" s="21">
        <v>8</v>
      </c>
      <c r="J77" s="21">
        <v>8</v>
      </c>
      <c r="K77" s="24"/>
      <c r="L77" s="21" t="s">
        <v>179</v>
      </c>
    </row>
    <row r="78" spans="1:12" ht="14.5" thickBot="1" x14ac:dyDescent="0.35">
      <c r="A78">
        <v>1231</v>
      </c>
      <c r="B78" s="21" t="s">
        <v>356</v>
      </c>
      <c r="C78" s="21" t="s">
        <v>354</v>
      </c>
      <c r="D78" s="21" t="s">
        <v>337</v>
      </c>
      <c r="E78" s="22">
        <v>45944</v>
      </c>
      <c r="F78" s="23">
        <v>0.49930555555555556</v>
      </c>
      <c r="G78" s="21" t="s">
        <v>355</v>
      </c>
      <c r="H78" s="21" t="s">
        <v>251</v>
      </c>
      <c r="I78" s="21">
        <v>4</v>
      </c>
      <c r="J78" s="21">
        <v>4</v>
      </c>
      <c r="K78" s="24"/>
      <c r="L78" s="21" t="s">
        <v>179</v>
      </c>
    </row>
    <row r="79" spans="1:12" ht="14.5" thickBot="1" x14ac:dyDescent="0.35">
      <c r="A79">
        <v>1231</v>
      </c>
      <c r="B79" s="21" t="s">
        <v>357</v>
      </c>
      <c r="C79" s="21" t="s">
        <v>190</v>
      </c>
      <c r="D79" s="21" t="s">
        <v>191</v>
      </c>
      <c r="E79" s="22">
        <v>45944</v>
      </c>
      <c r="F79" s="23">
        <v>0.35347222222222224</v>
      </c>
      <c r="G79" s="21" t="s">
        <v>358</v>
      </c>
      <c r="H79" s="21" t="s">
        <v>293</v>
      </c>
      <c r="I79" s="21">
        <v>66</v>
      </c>
      <c r="J79" s="21">
        <v>66</v>
      </c>
      <c r="K79" s="24"/>
      <c r="L79" s="21" t="s">
        <v>179</v>
      </c>
    </row>
    <row r="80" spans="1:12" ht="14.5" thickBot="1" x14ac:dyDescent="0.35">
      <c r="A80">
        <v>1231</v>
      </c>
      <c r="B80" s="21" t="s">
        <v>359</v>
      </c>
      <c r="C80" s="21" t="s">
        <v>190</v>
      </c>
      <c r="D80" s="21" t="s">
        <v>191</v>
      </c>
      <c r="E80" s="22">
        <v>45944</v>
      </c>
      <c r="F80" s="23">
        <v>0.52083333333333337</v>
      </c>
      <c r="G80" s="21" t="s">
        <v>358</v>
      </c>
      <c r="H80" s="21" t="s">
        <v>293</v>
      </c>
      <c r="I80" s="21">
        <v>45</v>
      </c>
      <c r="J80" s="21">
        <v>45</v>
      </c>
      <c r="K80" s="24"/>
      <c r="L80" s="21" t="s">
        <v>179</v>
      </c>
    </row>
    <row r="81" spans="1:12" ht="14.5" thickBot="1" x14ac:dyDescent="0.35">
      <c r="A81">
        <v>1231</v>
      </c>
      <c r="B81" s="21" t="s">
        <v>360</v>
      </c>
      <c r="C81" s="21" t="s">
        <v>190</v>
      </c>
      <c r="D81" s="21" t="s">
        <v>191</v>
      </c>
      <c r="E81" s="22">
        <v>45944</v>
      </c>
      <c r="F81" s="23">
        <v>0.64583333333333337</v>
      </c>
      <c r="G81" s="21" t="s">
        <v>358</v>
      </c>
      <c r="H81" s="21" t="s">
        <v>293</v>
      </c>
      <c r="I81" s="21">
        <v>45</v>
      </c>
      <c r="J81" s="21">
        <v>45</v>
      </c>
      <c r="K81" s="24"/>
      <c r="L81" s="21" t="s">
        <v>179</v>
      </c>
    </row>
    <row r="82" spans="1:12" ht="14.5" thickBot="1" x14ac:dyDescent="0.35">
      <c r="A82">
        <v>1231</v>
      </c>
      <c r="B82" s="21" t="s">
        <v>361</v>
      </c>
      <c r="C82" s="21" t="s">
        <v>190</v>
      </c>
      <c r="D82" s="21" t="s">
        <v>191</v>
      </c>
      <c r="E82" s="22">
        <v>45944</v>
      </c>
      <c r="F82" s="23">
        <v>0.77083333333333337</v>
      </c>
      <c r="G82" s="21" t="s">
        <v>358</v>
      </c>
      <c r="H82" s="21" t="s">
        <v>293</v>
      </c>
      <c r="I82" s="21">
        <v>84</v>
      </c>
      <c r="J82" s="21">
        <v>84</v>
      </c>
      <c r="K82" s="24"/>
      <c r="L82" s="21" t="s">
        <v>179</v>
      </c>
    </row>
    <row r="83" spans="1:12" ht="14.5" thickBot="1" x14ac:dyDescent="0.35">
      <c r="A83">
        <v>1231</v>
      </c>
      <c r="B83" s="21" t="s">
        <v>362</v>
      </c>
      <c r="C83" s="21" t="s">
        <v>190</v>
      </c>
      <c r="D83" s="21" t="s">
        <v>191</v>
      </c>
      <c r="E83" s="22">
        <v>45944</v>
      </c>
      <c r="F83" s="23">
        <v>0.89583333333333337</v>
      </c>
      <c r="G83" s="21" t="s">
        <v>363</v>
      </c>
      <c r="H83" s="21" t="s">
        <v>333</v>
      </c>
      <c r="I83" s="21">
        <v>6</v>
      </c>
      <c r="J83" s="21">
        <v>6</v>
      </c>
      <c r="K83" s="24"/>
      <c r="L83" s="21" t="s">
        <v>179</v>
      </c>
    </row>
    <row r="84" spans="1:12" ht="14.5" thickBot="1" x14ac:dyDescent="0.35">
      <c r="A84">
        <v>1231</v>
      </c>
      <c r="B84" s="21" t="s">
        <v>364</v>
      </c>
      <c r="C84" s="21" t="s">
        <v>190</v>
      </c>
      <c r="D84" s="21" t="s">
        <v>191</v>
      </c>
      <c r="E84" s="22">
        <v>45944</v>
      </c>
      <c r="F84" s="23">
        <v>0.89583333333333337</v>
      </c>
      <c r="G84" s="21" t="s">
        <v>358</v>
      </c>
      <c r="H84" s="21" t="s">
        <v>293</v>
      </c>
      <c r="I84" s="21">
        <v>36</v>
      </c>
      <c r="J84" s="21">
        <v>36</v>
      </c>
      <c r="K84" s="24"/>
      <c r="L84" s="21" t="s">
        <v>179</v>
      </c>
    </row>
    <row r="85" spans="1:12" ht="14.5" thickBot="1" x14ac:dyDescent="0.35">
      <c r="A85">
        <v>1231</v>
      </c>
      <c r="B85" s="21" t="s">
        <v>365</v>
      </c>
      <c r="C85" s="21" t="s">
        <v>196</v>
      </c>
      <c r="D85" s="21" t="s">
        <v>197</v>
      </c>
      <c r="E85" s="22">
        <v>45944</v>
      </c>
      <c r="F85" s="23">
        <v>0.35347222222222224</v>
      </c>
      <c r="G85" s="21" t="s">
        <v>358</v>
      </c>
      <c r="H85" s="21" t="s">
        <v>293</v>
      </c>
      <c r="I85" s="21">
        <v>66</v>
      </c>
      <c r="J85" s="21">
        <v>66</v>
      </c>
      <c r="K85" s="24"/>
      <c r="L85" s="21" t="s">
        <v>179</v>
      </c>
    </row>
    <row r="86" spans="1:12" ht="14.5" thickBot="1" x14ac:dyDescent="0.35">
      <c r="A86">
        <v>1231</v>
      </c>
      <c r="B86" s="21" t="s">
        <v>366</v>
      </c>
      <c r="C86" s="21" t="s">
        <v>196</v>
      </c>
      <c r="D86" s="21" t="s">
        <v>197</v>
      </c>
      <c r="E86" s="22">
        <v>45944</v>
      </c>
      <c r="F86" s="23">
        <v>0.52083333333333337</v>
      </c>
      <c r="G86" s="21" t="s">
        <v>358</v>
      </c>
      <c r="H86" s="21" t="s">
        <v>293</v>
      </c>
      <c r="I86" s="21">
        <v>45</v>
      </c>
      <c r="J86" s="21">
        <v>45</v>
      </c>
      <c r="K86" s="24"/>
      <c r="L86" s="21" t="s">
        <v>179</v>
      </c>
    </row>
    <row r="87" spans="1:12" ht="14.5" thickBot="1" x14ac:dyDescent="0.35">
      <c r="A87">
        <v>1231</v>
      </c>
      <c r="B87" s="21" t="s">
        <v>367</v>
      </c>
      <c r="C87" s="21" t="s">
        <v>196</v>
      </c>
      <c r="D87" s="21" t="s">
        <v>197</v>
      </c>
      <c r="E87" s="22">
        <v>45944</v>
      </c>
      <c r="F87" s="23">
        <v>0.64583333333333337</v>
      </c>
      <c r="G87" s="21" t="s">
        <v>358</v>
      </c>
      <c r="H87" s="21" t="s">
        <v>293</v>
      </c>
      <c r="I87" s="21">
        <v>45</v>
      </c>
      <c r="J87" s="21">
        <v>45</v>
      </c>
      <c r="K87" s="24"/>
      <c r="L87" s="21" t="s">
        <v>179</v>
      </c>
    </row>
    <row r="88" spans="1:12" ht="14.5" thickBot="1" x14ac:dyDescent="0.35">
      <c r="A88">
        <v>1231</v>
      </c>
      <c r="B88" s="21" t="s">
        <v>368</v>
      </c>
      <c r="C88" s="21" t="s">
        <v>196</v>
      </c>
      <c r="D88" s="21" t="s">
        <v>197</v>
      </c>
      <c r="E88" s="22">
        <v>45944</v>
      </c>
      <c r="F88" s="23">
        <v>0.77083333333333337</v>
      </c>
      <c r="G88" s="21" t="s">
        <v>358</v>
      </c>
      <c r="H88" s="21" t="s">
        <v>293</v>
      </c>
      <c r="I88" s="21">
        <v>84</v>
      </c>
      <c r="J88" s="21">
        <v>84</v>
      </c>
      <c r="K88" s="24"/>
      <c r="L88" s="21" t="s">
        <v>179</v>
      </c>
    </row>
    <row r="89" spans="1:12" ht="14.5" thickBot="1" x14ac:dyDescent="0.35">
      <c r="A89">
        <v>1231</v>
      </c>
      <c r="B89" s="21" t="s">
        <v>369</v>
      </c>
      <c r="C89" s="21" t="s">
        <v>196</v>
      </c>
      <c r="D89" s="21" t="s">
        <v>197</v>
      </c>
      <c r="E89" s="22">
        <v>45944</v>
      </c>
      <c r="F89" s="23">
        <v>0.89583333333333337</v>
      </c>
      <c r="G89" s="21" t="s">
        <v>363</v>
      </c>
      <c r="H89" s="21" t="s">
        <v>333</v>
      </c>
      <c r="I89" s="21">
        <v>3</v>
      </c>
      <c r="J89" s="21">
        <v>3</v>
      </c>
      <c r="K89" s="24"/>
      <c r="L89" s="21" t="s">
        <v>179</v>
      </c>
    </row>
    <row r="90" spans="1:12" ht="14.5" thickBot="1" x14ac:dyDescent="0.35">
      <c r="A90">
        <v>1231</v>
      </c>
      <c r="B90" s="21" t="s">
        <v>370</v>
      </c>
      <c r="C90" s="21" t="s">
        <v>196</v>
      </c>
      <c r="D90" s="21" t="s">
        <v>197</v>
      </c>
      <c r="E90" s="22">
        <v>45944</v>
      </c>
      <c r="F90" s="23">
        <v>0.89583333333333337</v>
      </c>
      <c r="G90" s="21" t="s">
        <v>358</v>
      </c>
      <c r="H90" s="21" t="s">
        <v>293</v>
      </c>
      <c r="I90" s="21">
        <v>36</v>
      </c>
      <c r="J90" s="21">
        <v>36</v>
      </c>
      <c r="K90" s="24"/>
      <c r="L90" s="21" t="s">
        <v>179</v>
      </c>
    </row>
    <row r="91" spans="1:12" ht="14.5" thickBot="1" x14ac:dyDescent="0.35">
      <c r="A91">
        <v>1231</v>
      </c>
      <c r="B91" s="21" t="s">
        <v>371</v>
      </c>
      <c r="C91" s="21" t="s">
        <v>372</v>
      </c>
      <c r="D91" s="21" t="s">
        <v>373</v>
      </c>
      <c r="E91" s="22">
        <v>45944</v>
      </c>
      <c r="F91" s="23">
        <v>0.34375</v>
      </c>
      <c r="G91" s="21" t="s">
        <v>374</v>
      </c>
      <c r="H91" s="21" t="s">
        <v>247</v>
      </c>
      <c r="I91" s="21">
        <v>160</v>
      </c>
      <c r="J91" s="21">
        <v>160</v>
      </c>
      <c r="K91" s="24"/>
      <c r="L91" s="21" t="s">
        <v>179</v>
      </c>
    </row>
    <row r="92" spans="1:12" ht="14.5" thickBot="1" x14ac:dyDescent="0.35">
      <c r="A92">
        <v>1231</v>
      </c>
      <c r="B92" s="21" t="s">
        <v>375</v>
      </c>
      <c r="C92" s="21" t="s">
        <v>372</v>
      </c>
      <c r="D92" s="21" t="s">
        <v>373</v>
      </c>
      <c r="E92" s="22">
        <v>45944</v>
      </c>
      <c r="F92" s="23">
        <v>0.49930555555555556</v>
      </c>
      <c r="G92" s="21" t="s">
        <v>374</v>
      </c>
      <c r="H92" s="21" t="s">
        <v>247</v>
      </c>
      <c r="I92" s="21">
        <v>88</v>
      </c>
      <c r="J92" s="21">
        <v>88</v>
      </c>
      <c r="K92" s="24"/>
      <c r="L92" s="21" t="s">
        <v>179</v>
      </c>
    </row>
    <row r="93" spans="1:12" ht="14.5" thickBot="1" x14ac:dyDescent="0.35">
      <c r="A93">
        <v>1231</v>
      </c>
      <c r="B93" s="21" t="s">
        <v>376</v>
      </c>
      <c r="C93" s="21" t="s">
        <v>377</v>
      </c>
      <c r="D93" s="21" t="s">
        <v>373</v>
      </c>
      <c r="E93" s="22">
        <v>45944</v>
      </c>
      <c r="F93" s="23">
        <v>0.35347222222222224</v>
      </c>
      <c r="G93" s="21" t="s">
        <v>378</v>
      </c>
      <c r="H93" s="21" t="s">
        <v>256</v>
      </c>
      <c r="I93" s="21">
        <v>8</v>
      </c>
      <c r="J93" s="21">
        <v>8</v>
      </c>
      <c r="K93" s="24"/>
      <c r="L93" s="21" t="s">
        <v>179</v>
      </c>
    </row>
    <row r="94" spans="1:12" ht="14.5" thickBot="1" x14ac:dyDescent="0.35">
      <c r="A94">
        <v>1231</v>
      </c>
      <c r="B94" s="21" t="s">
        <v>379</v>
      </c>
      <c r="C94" s="21" t="s">
        <v>377</v>
      </c>
      <c r="D94" s="21" t="s">
        <v>373</v>
      </c>
      <c r="E94" s="22">
        <v>45944</v>
      </c>
      <c r="F94" s="23">
        <v>0.49930555555555556</v>
      </c>
      <c r="G94" s="21" t="s">
        <v>374</v>
      </c>
      <c r="H94" s="21" t="s">
        <v>258</v>
      </c>
      <c r="I94" s="21">
        <v>248</v>
      </c>
      <c r="J94" s="21">
        <v>248</v>
      </c>
      <c r="K94" s="24"/>
      <c r="L94" s="21" t="s">
        <v>179</v>
      </c>
    </row>
    <row r="95" spans="1:12" ht="14.5" thickBot="1" x14ac:dyDescent="0.35">
      <c r="A95">
        <v>1231</v>
      </c>
      <c r="B95" s="21" t="s">
        <v>380</v>
      </c>
      <c r="C95" s="21" t="s">
        <v>377</v>
      </c>
      <c r="D95" s="21" t="s">
        <v>373</v>
      </c>
      <c r="E95" s="22">
        <v>45944</v>
      </c>
      <c r="F95" s="23">
        <v>0.52083333333333337</v>
      </c>
      <c r="G95" s="21" t="s">
        <v>378</v>
      </c>
      <c r="H95" s="21" t="s">
        <v>256</v>
      </c>
      <c r="I95" s="21">
        <v>8</v>
      </c>
      <c r="J95" s="21">
        <v>8</v>
      </c>
      <c r="K95" s="24"/>
      <c r="L95" s="21" t="s">
        <v>179</v>
      </c>
    </row>
    <row r="96" spans="1:12" ht="14.5" thickBot="1" x14ac:dyDescent="0.35">
      <c r="A96">
        <v>1231</v>
      </c>
      <c r="B96" s="21" t="s">
        <v>381</v>
      </c>
      <c r="C96" s="21" t="s">
        <v>377</v>
      </c>
      <c r="D96" s="21" t="s">
        <v>373</v>
      </c>
      <c r="E96" s="22">
        <v>45944</v>
      </c>
      <c r="F96" s="23">
        <v>0.77083333333333337</v>
      </c>
      <c r="G96" s="21" t="s">
        <v>378</v>
      </c>
      <c r="H96" s="21" t="s">
        <v>256</v>
      </c>
      <c r="I96" s="21">
        <v>8</v>
      </c>
      <c r="J96" s="21">
        <v>8</v>
      </c>
      <c r="K96" s="24"/>
      <c r="L96" s="21" t="s">
        <v>179</v>
      </c>
    </row>
    <row r="97" spans="1:12" ht="14.5" thickBot="1" x14ac:dyDescent="0.35">
      <c r="A97">
        <v>1231</v>
      </c>
      <c r="B97" s="21" t="s">
        <v>382</v>
      </c>
      <c r="C97" s="21" t="s">
        <v>377</v>
      </c>
      <c r="D97" s="21" t="s">
        <v>373</v>
      </c>
      <c r="E97" s="22">
        <v>45944</v>
      </c>
      <c r="F97" s="23">
        <v>0.89583333333333337</v>
      </c>
      <c r="G97" s="21" t="s">
        <v>378</v>
      </c>
      <c r="H97" s="21" t="s">
        <v>256</v>
      </c>
      <c r="I97" s="21">
        <v>32</v>
      </c>
      <c r="J97" s="21">
        <v>32</v>
      </c>
      <c r="K97" s="24"/>
      <c r="L97" s="21" t="s">
        <v>179</v>
      </c>
    </row>
    <row r="98" spans="1:12" ht="14.5" thickBot="1" x14ac:dyDescent="0.35">
      <c r="A98">
        <v>1231</v>
      </c>
      <c r="B98" s="21" t="s">
        <v>383</v>
      </c>
      <c r="C98" s="21" t="s">
        <v>377</v>
      </c>
      <c r="D98" s="21" t="s">
        <v>373</v>
      </c>
      <c r="E98" s="22">
        <v>45944</v>
      </c>
      <c r="F98" s="23">
        <v>0.89652777777777781</v>
      </c>
      <c r="G98" s="21" t="s">
        <v>378</v>
      </c>
      <c r="H98" s="21" t="s">
        <v>256</v>
      </c>
      <c r="I98" s="21">
        <v>24</v>
      </c>
      <c r="J98" s="21">
        <v>24</v>
      </c>
      <c r="K98" s="24"/>
      <c r="L98" s="21" t="s">
        <v>179</v>
      </c>
    </row>
    <row r="99" spans="1:12" ht="14.5" thickBot="1" x14ac:dyDescent="0.35">
      <c r="A99">
        <v>1231</v>
      </c>
      <c r="B99" s="21" t="s">
        <v>384</v>
      </c>
      <c r="C99" s="21" t="s">
        <v>385</v>
      </c>
      <c r="D99" s="21" t="s">
        <v>202</v>
      </c>
      <c r="E99" s="22">
        <v>45944</v>
      </c>
      <c r="F99" s="23">
        <v>0.35347222222222224</v>
      </c>
      <c r="G99" s="21" t="s">
        <v>358</v>
      </c>
      <c r="H99" s="21" t="s">
        <v>386</v>
      </c>
      <c r="I99" s="21">
        <v>8</v>
      </c>
      <c r="J99" s="21">
        <v>8</v>
      </c>
      <c r="K99" s="24"/>
      <c r="L99" s="21" t="s">
        <v>179</v>
      </c>
    </row>
    <row r="100" spans="1:12" ht="14.5" thickBot="1" x14ac:dyDescent="0.35">
      <c r="A100">
        <v>1231</v>
      </c>
      <c r="B100" s="21" t="s">
        <v>387</v>
      </c>
      <c r="C100" s="21" t="s">
        <v>385</v>
      </c>
      <c r="D100" s="21" t="s">
        <v>202</v>
      </c>
      <c r="E100" s="22">
        <v>45944</v>
      </c>
      <c r="F100" s="23">
        <v>0.77083333333333337</v>
      </c>
      <c r="G100" s="21" t="s">
        <v>358</v>
      </c>
      <c r="H100" s="21" t="s">
        <v>386</v>
      </c>
      <c r="I100" s="21">
        <v>8</v>
      </c>
      <c r="J100" s="21">
        <v>8</v>
      </c>
      <c r="K100" s="24"/>
      <c r="L100" s="21" t="s">
        <v>179</v>
      </c>
    </row>
    <row r="101" spans="1:12" ht="14.5" thickBot="1" x14ac:dyDescent="0.35">
      <c r="A101">
        <v>1231</v>
      </c>
      <c r="B101" s="21" t="s">
        <v>388</v>
      </c>
      <c r="C101" s="21" t="s">
        <v>389</v>
      </c>
      <c r="D101" s="21" t="s">
        <v>202</v>
      </c>
      <c r="E101" s="22">
        <v>45944</v>
      </c>
      <c r="F101" s="23">
        <v>0.35347222222222224</v>
      </c>
      <c r="G101" s="21" t="s">
        <v>358</v>
      </c>
      <c r="H101" s="21" t="s">
        <v>390</v>
      </c>
      <c r="I101" s="21">
        <v>24</v>
      </c>
      <c r="J101" s="21">
        <v>24</v>
      </c>
      <c r="K101" s="24"/>
      <c r="L101" s="21" t="s">
        <v>179</v>
      </c>
    </row>
    <row r="102" spans="1:12" ht="14.5" thickBot="1" x14ac:dyDescent="0.35">
      <c r="A102">
        <v>1231</v>
      </c>
      <c r="B102" s="21" t="s">
        <v>391</v>
      </c>
      <c r="C102" s="21" t="s">
        <v>389</v>
      </c>
      <c r="D102" s="21" t="s">
        <v>202</v>
      </c>
      <c r="E102" s="22">
        <v>45944</v>
      </c>
      <c r="F102" s="23">
        <v>0.52083333333333337</v>
      </c>
      <c r="G102" s="21" t="s">
        <v>358</v>
      </c>
      <c r="H102" s="21" t="s">
        <v>390</v>
      </c>
      <c r="I102" s="21">
        <v>16</v>
      </c>
      <c r="J102" s="21">
        <v>16</v>
      </c>
      <c r="K102" s="24"/>
      <c r="L102" s="21" t="s">
        <v>179</v>
      </c>
    </row>
    <row r="103" spans="1:12" ht="14.5" thickBot="1" x14ac:dyDescent="0.35">
      <c r="A103">
        <v>1231</v>
      </c>
      <c r="B103" s="21" t="s">
        <v>392</v>
      </c>
      <c r="C103" s="21" t="s">
        <v>389</v>
      </c>
      <c r="D103" s="21" t="s">
        <v>202</v>
      </c>
      <c r="E103" s="22">
        <v>45944</v>
      </c>
      <c r="F103" s="23">
        <v>0.64583333333333337</v>
      </c>
      <c r="G103" s="21" t="s">
        <v>358</v>
      </c>
      <c r="H103" s="21" t="s">
        <v>390</v>
      </c>
      <c r="I103" s="21">
        <v>16</v>
      </c>
      <c r="J103" s="21">
        <v>16</v>
      </c>
      <c r="K103" s="24"/>
      <c r="L103" s="21" t="s">
        <v>179</v>
      </c>
    </row>
    <row r="104" spans="1:12" ht="14.5" thickBot="1" x14ac:dyDescent="0.35">
      <c r="A104">
        <v>1231</v>
      </c>
      <c r="B104" s="21" t="s">
        <v>393</v>
      </c>
      <c r="C104" s="21" t="s">
        <v>389</v>
      </c>
      <c r="D104" s="21" t="s">
        <v>202</v>
      </c>
      <c r="E104" s="22">
        <v>45944</v>
      </c>
      <c r="F104" s="23">
        <v>0.77083333333333337</v>
      </c>
      <c r="G104" s="21" t="s">
        <v>358</v>
      </c>
      <c r="H104" s="21" t="s">
        <v>390</v>
      </c>
      <c r="I104" s="21">
        <v>40</v>
      </c>
      <c r="J104" s="21">
        <v>40</v>
      </c>
      <c r="K104" s="24"/>
      <c r="L104" s="21" t="s">
        <v>179</v>
      </c>
    </row>
    <row r="105" spans="1:12" ht="14.5" thickBot="1" x14ac:dyDescent="0.35">
      <c r="A105">
        <v>1231</v>
      </c>
      <c r="B105" s="21" t="s">
        <v>394</v>
      </c>
      <c r="C105" s="21" t="s">
        <v>389</v>
      </c>
      <c r="D105" s="21" t="s">
        <v>202</v>
      </c>
      <c r="E105" s="22">
        <v>45944</v>
      </c>
      <c r="F105" s="23">
        <v>0.89583333333333337</v>
      </c>
      <c r="G105" s="21" t="s">
        <v>358</v>
      </c>
      <c r="H105" s="21" t="s">
        <v>390</v>
      </c>
      <c r="I105" s="21">
        <v>32</v>
      </c>
      <c r="J105" s="21">
        <v>32</v>
      </c>
      <c r="K105" s="24"/>
      <c r="L105" s="21" t="s">
        <v>179</v>
      </c>
    </row>
    <row r="106" spans="1:12" ht="14.5" thickBot="1" x14ac:dyDescent="0.35">
      <c r="A106">
        <v>1231</v>
      </c>
      <c r="B106" s="21" t="s">
        <v>395</v>
      </c>
      <c r="C106" s="21" t="s">
        <v>396</v>
      </c>
      <c r="D106" s="21" t="s">
        <v>202</v>
      </c>
      <c r="E106" s="22">
        <v>45944</v>
      </c>
      <c r="F106" s="23">
        <v>0.35347222222222224</v>
      </c>
      <c r="G106" s="21" t="s">
        <v>358</v>
      </c>
      <c r="H106" s="21" t="s">
        <v>386</v>
      </c>
      <c r="I106" s="21">
        <v>8</v>
      </c>
      <c r="J106" s="21">
        <v>8</v>
      </c>
      <c r="K106" s="24"/>
      <c r="L106" s="21" t="s">
        <v>179</v>
      </c>
    </row>
    <row r="107" spans="1:12" ht="14.5" thickBot="1" x14ac:dyDescent="0.35">
      <c r="A107">
        <v>1231</v>
      </c>
      <c r="B107" s="21" t="s">
        <v>397</v>
      </c>
      <c r="C107" s="21" t="s">
        <v>396</v>
      </c>
      <c r="D107" s="21" t="s">
        <v>202</v>
      </c>
      <c r="E107" s="22">
        <v>45944</v>
      </c>
      <c r="F107" s="23">
        <v>0.52083333333333337</v>
      </c>
      <c r="G107" s="21" t="s">
        <v>358</v>
      </c>
      <c r="H107" s="21" t="s">
        <v>386</v>
      </c>
      <c r="I107" s="21">
        <v>16</v>
      </c>
      <c r="J107" s="21">
        <v>16</v>
      </c>
      <c r="K107" s="24"/>
      <c r="L107" s="21" t="s">
        <v>179</v>
      </c>
    </row>
    <row r="108" spans="1:12" ht="14.5" thickBot="1" x14ac:dyDescent="0.35">
      <c r="A108">
        <v>1231</v>
      </c>
      <c r="B108" s="21" t="s">
        <v>398</v>
      </c>
      <c r="C108" s="21" t="s">
        <v>396</v>
      </c>
      <c r="D108" s="21" t="s">
        <v>202</v>
      </c>
      <c r="E108" s="22">
        <v>45944</v>
      </c>
      <c r="F108" s="23">
        <v>0.77083333333333337</v>
      </c>
      <c r="G108" s="21" t="s">
        <v>358</v>
      </c>
      <c r="H108" s="21" t="s">
        <v>386</v>
      </c>
      <c r="I108" s="21">
        <v>16</v>
      </c>
      <c r="J108" s="21">
        <v>16</v>
      </c>
      <c r="K108" s="24"/>
      <c r="L108" s="21" t="s">
        <v>179</v>
      </c>
    </row>
    <row r="109" spans="1:12" ht="14.5" thickBot="1" x14ac:dyDescent="0.35">
      <c r="A109">
        <v>1231</v>
      </c>
      <c r="B109" s="21" t="s">
        <v>399</v>
      </c>
      <c r="C109" s="21" t="s">
        <v>396</v>
      </c>
      <c r="D109" s="21" t="s">
        <v>202</v>
      </c>
      <c r="E109" s="22">
        <v>45944</v>
      </c>
      <c r="F109" s="23">
        <v>0.89583333333333337</v>
      </c>
      <c r="G109" s="21" t="s">
        <v>358</v>
      </c>
      <c r="H109" s="21" t="s">
        <v>386</v>
      </c>
      <c r="I109" s="21">
        <v>8</v>
      </c>
      <c r="J109" s="21">
        <v>8</v>
      </c>
      <c r="K109" s="24"/>
      <c r="L109" s="21" t="s">
        <v>179</v>
      </c>
    </row>
    <row r="110" spans="1:12" ht="14.5" thickBot="1" x14ac:dyDescent="0.35">
      <c r="A110">
        <v>1231</v>
      </c>
      <c r="B110" s="21" t="s">
        <v>400</v>
      </c>
      <c r="C110" s="21" t="s">
        <v>401</v>
      </c>
      <c r="D110" s="21" t="s">
        <v>202</v>
      </c>
      <c r="E110" s="22">
        <v>45944</v>
      </c>
      <c r="F110" s="23">
        <v>0.35347222222222224</v>
      </c>
      <c r="G110" s="21" t="s">
        <v>402</v>
      </c>
      <c r="H110" s="21" t="s">
        <v>403</v>
      </c>
      <c r="I110" s="21">
        <v>88</v>
      </c>
      <c r="J110" s="21">
        <v>88</v>
      </c>
      <c r="K110" s="24"/>
      <c r="L110" s="21" t="s">
        <v>179</v>
      </c>
    </row>
    <row r="111" spans="1:12" ht="14.5" thickBot="1" x14ac:dyDescent="0.35">
      <c r="A111">
        <v>1231</v>
      </c>
      <c r="B111" s="21" t="s">
        <v>404</v>
      </c>
      <c r="C111" s="21" t="s">
        <v>401</v>
      </c>
      <c r="D111" s="21" t="s">
        <v>202</v>
      </c>
      <c r="E111" s="22">
        <v>45944</v>
      </c>
      <c r="F111" s="23">
        <v>0.35347222222222224</v>
      </c>
      <c r="G111" s="21" t="s">
        <v>358</v>
      </c>
      <c r="H111" s="21" t="s">
        <v>386</v>
      </c>
      <c r="I111" s="21">
        <v>72</v>
      </c>
      <c r="J111" s="21">
        <v>72</v>
      </c>
      <c r="K111" s="24"/>
      <c r="L111" s="21" t="s">
        <v>179</v>
      </c>
    </row>
    <row r="112" spans="1:12" ht="14.5" thickBot="1" x14ac:dyDescent="0.35">
      <c r="A112">
        <v>1231</v>
      </c>
      <c r="B112" s="21" t="s">
        <v>405</v>
      </c>
      <c r="C112" s="21" t="s">
        <v>401</v>
      </c>
      <c r="D112" s="21" t="s">
        <v>202</v>
      </c>
      <c r="E112" s="22">
        <v>45944</v>
      </c>
      <c r="F112" s="23">
        <v>0.52083333333333337</v>
      </c>
      <c r="G112" s="21" t="s">
        <v>402</v>
      </c>
      <c r="H112" s="21" t="s">
        <v>403</v>
      </c>
      <c r="I112" s="21">
        <v>64</v>
      </c>
      <c r="J112" s="21">
        <v>64</v>
      </c>
      <c r="K112" s="24"/>
      <c r="L112" s="21" t="s">
        <v>179</v>
      </c>
    </row>
    <row r="113" spans="1:12" ht="14.5" thickBot="1" x14ac:dyDescent="0.35">
      <c r="A113">
        <v>1231</v>
      </c>
      <c r="B113" s="21" t="s">
        <v>406</v>
      </c>
      <c r="C113" s="21" t="s">
        <v>401</v>
      </c>
      <c r="D113" s="21" t="s">
        <v>202</v>
      </c>
      <c r="E113" s="22">
        <v>45944</v>
      </c>
      <c r="F113" s="23">
        <v>0.52083333333333337</v>
      </c>
      <c r="G113" s="21" t="s">
        <v>358</v>
      </c>
      <c r="H113" s="21" t="s">
        <v>386</v>
      </c>
      <c r="I113" s="21">
        <v>56</v>
      </c>
      <c r="J113" s="21">
        <v>56</v>
      </c>
      <c r="K113" s="24"/>
      <c r="L113" s="21" t="s">
        <v>179</v>
      </c>
    </row>
    <row r="114" spans="1:12" ht="14.5" thickBot="1" x14ac:dyDescent="0.35">
      <c r="A114">
        <v>1231</v>
      </c>
      <c r="B114" s="21" t="s">
        <v>407</v>
      </c>
      <c r="C114" s="21" t="s">
        <v>401</v>
      </c>
      <c r="D114" s="21" t="s">
        <v>202</v>
      </c>
      <c r="E114" s="22">
        <v>45944</v>
      </c>
      <c r="F114" s="23">
        <v>0.64583333333333337</v>
      </c>
      <c r="G114" s="21" t="s">
        <v>402</v>
      </c>
      <c r="H114" s="21" t="s">
        <v>403</v>
      </c>
      <c r="I114" s="21">
        <v>72</v>
      </c>
      <c r="J114" s="21">
        <v>72</v>
      </c>
      <c r="K114" s="24"/>
      <c r="L114" s="21" t="s">
        <v>179</v>
      </c>
    </row>
    <row r="115" spans="1:12" ht="14.5" thickBot="1" x14ac:dyDescent="0.35">
      <c r="A115">
        <v>1231</v>
      </c>
      <c r="B115" s="21" t="s">
        <v>408</v>
      </c>
      <c r="C115" s="21" t="s">
        <v>401</v>
      </c>
      <c r="D115" s="21" t="s">
        <v>202</v>
      </c>
      <c r="E115" s="22">
        <v>45944</v>
      </c>
      <c r="F115" s="23">
        <v>0.64583333333333337</v>
      </c>
      <c r="G115" s="21" t="s">
        <v>358</v>
      </c>
      <c r="H115" s="21" t="s">
        <v>386</v>
      </c>
      <c r="I115" s="21">
        <v>56</v>
      </c>
      <c r="J115" s="21">
        <v>56</v>
      </c>
      <c r="K115" s="24"/>
      <c r="L115" s="21" t="s">
        <v>179</v>
      </c>
    </row>
    <row r="116" spans="1:12" ht="14.5" thickBot="1" x14ac:dyDescent="0.35">
      <c r="A116">
        <v>1231</v>
      </c>
      <c r="B116" s="21" t="s">
        <v>409</v>
      </c>
      <c r="C116" s="21" t="s">
        <v>401</v>
      </c>
      <c r="D116" s="21" t="s">
        <v>202</v>
      </c>
      <c r="E116" s="22">
        <v>45944</v>
      </c>
      <c r="F116" s="23">
        <v>0.77083333333333337</v>
      </c>
      <c r="G116" s="21" t="s">
        <v>402</v>
      </c>
      <c r="H116" s="21" t="s">
        <v>403</v>
      </c>
      <c r="I116" s="21">
        <v>120</v>
      </c>
      <c r="J116" s="21">
        <v>120</v>
      </c>
      <c r="K116" s="24"/>
      <c r="L116" s="21" t="s">
        <v>179</v>
      </c>
    </row>
    <row r="117" spans="1:12" ht="14.5" thickBot="1" x14ac:dyDescent="0.35">
      <c r="A117">
        <v>1231</v>
      </c>
      <c r="B117" s="21" t="s">
        <v>410</v>
      </c>
      <c r="C117" s="21" t="s">
        <v>401</v>
      </c>
      <c r="D117" s="21" t="s">
        <v>202</v>
      </c>
      <c r="E117" s="22">
        <v>45944</v>
      </c>
      <c r="F117" s="23">
        <v>0.77083333333333337</v>
      </c>
      <c r="G117" s="21" t="s">
        <v>358</v>
      </c>
      <c r="H117" s="21" t="s">
        <v>386</v>
      </c>
      <c r="I117" s="21">
        <v>112</v>
      </c>
      <c r="J117" s="21">
        <v>112</v>
      </c>
      <c r="K117" s="24"/>
      <c r="L117" s="21" t="s">
        <v>179</v>
      </c>
    </row>
    <row r="118" spans="1:12" ht="14.5" thickBot="1" x14ac:dyDescent="0.35">
      <c r="A118">
        <v>1231</v>
      </c>
      <c r="B118" s="21" t="s">
        <v>411</v>
      </c>
      <c r="C118" s="21" t="s">
        <v>401</v>
      </c>
      <c r="D118" s="21" t="s">
        <v>202</v>
      </c>
      <c r="E118" s="22">
        <v>45944</v>
      </c>
      <c r="F118" s="23">
        <v>0.89583333333333337</v>
      </c>
      <c r="G118" s="21" t="s">
        <v>358</v>
      </c>
      <c r="H118" s="21" t="s">
        <v>386</v>
      </c>
      <c r="I118" s="21">
        <v>56</v>
      </c>
      <c r="J118" s="21">
        <v>56</v>
      </c>
      <c r="K118" s="24"/>
      <c r="L118" s="21" t="s">
        <v>179</v>
      </c>
    </row>
    <row r="119" spans="1:12" ht="14.5" thickBot="1" x14ac:dyDescent="0.35">
      <c r="A119">
        <v>1231</v>
      </c>
      <c r="B119" s="21" t="s">
        <v>412</v>
      </c>
      <c r="C119" s="21" t="s">
        <v>401</v>
      </c>
      <c r="D119" s="21" t="s">
        <v>202</v>
      </c>
      <c r="E119" s="22">
        <v>45944</v>
      </c>
      <c r="F119" s="23">
        <v>0.89583333333333337</v>
      </c>
      <c r="G119" s="21" t="s">
        <v>402</v>
      </c>
      <c r="H119" s="21" t="s">
        <v>403</v>
      </c>
      <c r="I119" s="21">
        <v>40</v>
      </c>
      <c r="J119" s="21">
        <v>40</v>
      </c>
      <c r="K119" s="24"/>
      <c r="L119" s="21" t="s">
        <v>179</v>
      </c>
    </row>
    <row r="120" spans="1:12" ht="14.5" thickBot="1" x14ac:dyDescent="0.35">
      <c r="A120">
        <v>1231</v>
      </c>
      <c r="B120" s="21" t="s">
        <v>413</v>
      </c>
      <c r="C120" s="21" t="s">
        <v>414</v>
      </c>
      <c r="D120" s="21" t="s">
        <v>202</v>
      </c>
      <c r="E120" s="22">
        <v>45944</v>
      </c>
      <c r="F120" s="23">
        <v>0.77152777777777781</v>
      </c>
      <c r="G120" s="21" t="s">
        <v>415</v>
      </c>
      <c r="H120" s="21" t="s">
        <v>301</v>
      </c>
      <c r="I120" s="21">
        <v>8</v>
      </c>
      <c r="J120" s="21">
        <v>8</v>
      </c>
      <c r="K120" s="24"/>
      <c r="L120" s="21" t="s">
        <v>179</v>
      </c>
    </row>
    <row r="121" spans="1:12" ht="14.5" thickBot="1" x14ac:dyDescent="0.35">
      <c r="A121">
        <v>1231</v>
      </c>
      <c r="B121" s="21" t="s">
        <v>416</v>
      </c>
      <c r="C121" s="21" t="s">
        <v>417</v>
      </c>
      <c r="D121" s="21" t="s">
        <v>202</v>
      </c>
      <c r="E121" s="22">
        <v>45944</v>
      </c>
      <c r="F121" s="23">
        <v>0.34375</v>
      </c>
      <c r="G121" s="21" t="s">
        <v>415</v>
      </c>
      <c r="H121" s="21" t="s">
        <v>301</v>
      </c>
      <c r="I121" s="21">
        <v>144</v>
      </c>
      <c r="J121" s="21">
        <v>144</v>
      </c>
      <c r="K121" s="24"/>
      <c r="L121" s="21" t="s">
        <v>179</v>
      </c>
    </row>
    <row r="122" spans="1:12" ht="14.5" thickBot="1" x14ac:dyDescent="0.35">
      <c r="A122">
        <v>1231</v>
      </c>
      <c r="B122" s="21" t="s">
        <v>418</v>
      </c>
      <c r="C122" s="21" t="s">
        <v>417</v>
      </c>
      <c r="D122" s="21" t="s">
        <v>202</v>
      </c>
      <c r="E122" s="22">
        <v>45944</v>
      </c>
      <c r="F122" s="23">
        <v>0.35347222222222224</v>
      </c>
      <c r="G122" s="21" t="s">
        <v>358</v>
      </c>
      <c r="H122" s="21" t="s">
        <v>303</v>
      </c>
      <c r="I122" s="21">
        <v>32</v>
      </c>
      <c r="J122" s="21">
        <v>32</v>
      </c>
      <c r="K122" s="24"/>
      <c r="L122" s="21" t="s">
        <v>179</v>
      </c>
    </row>
    <row r="123" spans="1:12" ht="14.5" thickBot="1" x14ac:dyDescent="0.35">
      <c r="A123">
        <v>1231</v>
      </c>
      <c r="B123" s="21" t="s">
        <v>419</v>
      </c>
      <c r="C123" s="21" t="s">
        <v>417</v>
      </c>
      <c r="D123" s="21" t="s">
        <v>202</v>
      </c>
      <c r="E123" s="22">
        <v>45944</v>
      </c>
      <c r="F123" s="23">
        <v>0.35347222222222224</v>
      </c>
      <c r="G123" s="21" t="s">
        <v>374</v>
      </c>
      <c r="H123" s="21" t="s">
        <v>340</v>
      </c>
      <c r="I123" s="21">
        <v>8</v>
      </c>
      <c r="J123" s="21">
        <v>8</v>
      </c>
      <c r="K123" s="24"/>
      <c r="L123" s="21" t="s">
        <v>179</v>
      </c>
    </row>
    <row r="124" spans="1:12" ht="14.5" thickBot="1" x14ac:dyDescent="0.35">
      <c r="A124">
        <v>1231</v>
      </c>
      <c r="B124" s="21" t="s">
        <v>420</v>
      </c>
      <c r="C124" s="21" t="s">
        <v>417</v>
      </c>
      <c r="D124" s="21" t="s">
        <v>202</v>
      </c>
      <c r="E124" s="22">
        <v>45944</v>
      </c>
      <c r="F124" s="23">
        <v>0.49930555555555556</v>
      </c>
      <c r="G124" s="21" t="s">
        <v>415</v>
      </c>
      <c r="H124" s="21" t="s">
        <v>301</v>
      </c>
      <c r="I124" s="21">
        <v>136</v>
      </c>
      <c r="J124" s="21">
        <v>136</v>
      </c>
      <c r="K124" s="24"/>
      <c r="L124" s="21" t="s">
        <v>179</v>
      </c>
    </row>
    <row r="125" spans="1:12" ht="14.5" thickBot="1" x14ac:dyDescent="0.35">
      <c r="A125">
        <v>1231</v>
      </c>
      <c r="B125" s="21" t="s">
        <v>421</v>
      </c>
      <c r="C125" s="21" t="s">
        <v>417</v>
      </c>
      <c r="D125" s="21" t="s">
        <v>202</v>
      </c>
      <c r="E125" s="22">
        <v>45944</v>
      </c>
      <c r="F125" s="23">
        <v>0.52083333333333337</v>
      </c>
      <c r="G125" s="21" t="s">
        <v>358</v>
      </c>
      <c r="H125" s="21" t="s">
        <v>303</v>
      </c>
      <c r="I125" s="21">
        <v>16</v>
      </c>
      <c r="J125" s="21">
        <v>16</v>
      </c>
      <c r="K125" s="24"/>
      <c r="L125" s="21" t="s">
        <v>179</v>
      </c>
    </row>
    <row r="126" spans="1:12" ht="14.5" thickBot="1" x14ac:dyDescent="0.35">
      <c r="A126">
        <v>1231</v>
      </c>
      <c r="B126" s="21" t="s">
        <v>422</v>
      </c>
      <c r="C126" s="21" t="s">
        <v>417</v>
      </c>
      <c r="D126" s="21" t="s">
        <v>202</v>
      </c>
      <c r="E126" s="22">
        <v>45944</v>
      </c>
      <c r="F126" s="23">
        <v>0.63472222222222219</v>
      </c>
      <c r="G126" s="21" t="s">
        <v>415</v>
      </c>
      <c r="H126" s="21" t="s">
        <v>301</v>
      </c>
      <c r="I126" s="21">
        <v>144</v>
      </c>
      <c r="J126" s="21">
        <v>144</v>
      </c>
      <c r="K126" s="24"/>
      <c r="L126" s="21" t="s">
        <v>179</v>
      </c>
    </row>
    <row r="127" spans="1:12" ht="14.5" thickBot="1" x14ac:dyDescent="0.35">
      <c r="A127">
        <v>1231</v>
      </c>
      <c r="B127" s="21" t="s">
        <v>423</v>
      </c>
      <c r="C127" s="21" t="s">
        <v>417</v>
      </c>
      <c r="D127" s="21" t="s">
        <v>202</v>
      </c>
      <c r="E127" s="22">
        <v>45944</v>
      </c>
      <c r="F127" s="23">
        <v>0.64583333333333337</v>
      </c>
      <c r="G127" s="21" t="s">
        <v>358</v>
      </c>
      <c r="H127" s="21" t="s">
        <v>303</v>
      </c>
      <c r="I127" s="21">
        <v>24</v>
      </c>
      <c r="J127" s="21">
        <v>24</v>
      </c>
      <c r="K127" s="24"/>
      <c r="L127" s="21" t="s">
        <v>179</v>
      </c>
    </row>
    <row r="128" spans="1:12" ht="14.5" thickBot="1" x14ac:dyDescent="0.35">
      <c r="A128">
        <v>1231</v>
      </c>
      <c r="B128" s="21" t="s">
        <v>424</v>
      </c>
      <c r="C128" s="21" t="s">
        <v>417</v>
      </c>
      <c r="D128" s="21" t="s">
        <v>202</v>
      </c>
      <c r="E128" s="22">
        <v>45944</v>
      </c>
      <c r="F128" s="23">
        <v>0.77083333333333337</v>
      </c>
      <c r="G128" s="21" t="s">
        <v>358</v>
      </c>
      <c r="H128" s="21" t="s">
        <v>303</v>
      </c>
      <c r="I128" s="21">
        <v>40</v>
      </c>
      <c r="J128" s="21">
        <v>40</v>
      </c>
      <c r="K128" s="24"/>
      <c r="L128" s="21" t="s">
        <v>179</v>
      </c>
    </row>
    <row r="129" spans="1:12" ht="14.5" thickBot="1" x14ac:dyDescent="0.35">
      <c r="A129">
        <v>1231</v>
      </c>
      <c r="B129" s="21" t="s">
        <v>425</v>
      </c>
      <c r="C129" s="21" t="s">
        <v>417</v>
      </c>
      <c r="D129" s="21" t="s">
        <v>202</v>
      </c>
      <c r="E129" s="22">
        <v>45944</v>
      </c>
      <c r="F129" s="23">
        <v>0.77152777777777781</v>
      </c>
      <c r="G129" s="21" t="s">
        <v>415</v>
      </c>
      <c r="H129" s="21" t="s">
        <v>301</v>
      </c>
      <c r="I129" s="21">
        <v>104</v>
      </c>
      <c r="J129" s="21">
        <v>104</v>
      </c>
      <c r="K129" s="24"/>
      <c r="L129" s="21" t="s">
        <v>179</v>
      </c>
    </row>
    <row r="130" spans="1:12" ht="14.5" thickBot="1" x14ac:dyDescent="0.35">
      <c r="A130">
        <v>1231</v>
      </c>
      <c r="B130" s="21" t="s">
        <v>426</v>
      </c>
      <c r="C130" s="21" t="s">
        <v>417</v>
      </c>
      <c r="D130" s="21" t="s">
        <v>202</v>
      </c>
      <c r="E130" s="22">
        <v>45944</v>
      </c>
      <c r="F130" s="23">
        <v>0.89583333333333337</v>
      </c>
      <c r="G130" s="21" t="s">
        <v>415</v>
      </c>
      <c r="H130" s="21" t="s">
        <v>301</v>
      </c>
      <c r="I130" s="21">
        <v>120</v>
      </c>
      <c r="J130" s="21">
        <v>120</v>
      </c>
      <c r="K130" s="24"/>
      <c r="L130" s="21" t="s">
        <v>179</v>
      </c>
    </row>
    <row r="131" spans="1:12" ht="14.5" thickBot="1" x14ac:dyDescent="0.35">
      <c r="A131">
        <v>1231</v>
      </c>
      <c r="B131" s="21" t="s">
        <v>427</v>
      </c>
      <c r="C131" s="21" t="s">
        <v>417</v>
      </c>
      <c r="D131" s="21" t="s">
        <v>202</v>
      </c>
      <c r="E131" s="22">
        <v>45944</v>
      </c>
      <c r="F131" s="23">
        <v>0.89583333333333337</v>
      </c>
      <c r="G131" s="21" t="s">
        <v>358</v>
      </c>
      <c r="H131" s="21" t="s">
        <v>303</v>
      </c>
      <c r="I131" s="21">
        <v>16</v>
      </c>
      <c r="J131" s="21">
        <v>16</v>
      </c>
      <c r="K131" s="24"/>
      <c r="L131" s="21" t="s">
        <v>179</v>
      </c>
    </row>
    <row r="132" spans="1:12" ht="14.5" thickBot="1" x14ac:dyDescent="0.35">
      <c r="A132">
        <v>1231</v>
      </c>
      <c r="B132" s="21" t="s">
        <v>428</v>
      </c>
      <c r="C132" s="21" t="s">
        <v>417</v>
      </c>
      <c r="D132" s="21" t="s">
        <v>202</v>
      </c>
      <c r="E132" s="22">
        <v>45944</v>
      </c>
      <c r="F132" s="23">
        <v>0.89652777777777781</v>
      </c>
      <c r="G132" s="21" t="s">
        <v>415</v>
      </c>
      <c r="H132" s="21" t="s">
        <v>301</v>
      </c>
      <c r="I132" s="21">
        <v>96</v>
      </c>
      <c r="J132" s="21">
        <v>96</v>
      </c>
      <c r="K132" s="24"/>
      <c r="L132" s="21" t="s">
        <v>179</v>
      </c>
    </row>
    <row r="133" spans="1:12" ht="14.5" thickBot="1" x14ac:dyDescent="0.35">
      <c r="A133">
        <v>1231</v>
      </c>
      <c r="B133" s="21" t="s">
        <v>429</v>
      </c>
      <c r="C133" s="21" t="s">
        <v>430</v>
      </c>
      <c r="D133" s="21" t="s">
        <v>202</v>
      </c>
      <c r="E133" s="22">
        <v>45944</v>
      </c>
      <c r="F133" s="23">
        <v>0.34375</v>
      </c>
      <c r="G133" s="21" t="s">
        <v>415</v>
      </c>
      <c r="H133" s="21" t="s">
        <v>301</v>
      </c>
      <c r="I133" s="21">
        <v>8</v>
      </c>
      <c r="J133" s="21">
        <v>8</v>
      </c>
      <c r="K133" s="24"/>
      <c r="L133" s="21" t="s">
        <v>179</v>
      </c>
    </row>
    <row r="134" spans="1:12" ht="14.5" thickBot="1" x14ac:dyDescent="0.35">
      <c r="A134">
        <v>1231</v>
      </c>
      <c r="B134" s="21" t="s">
        <v>431</v>
      </c>
      <c r="C134" s="21" t="s">
        <v>430</v>
      </c>
      <c r="D134" s="21" t="s">
        <v>202</v>
      </c>
      <c r="E134" s="22">
        <v>45944</v>
      </c>
      <c r="F134" s="23">
        <v>0.49930555555555556</v>
      </c>
      <c r="G134" s="21" t="s">
        <v>415</v>
      </c>
      <c r="H134" s="21" t="s">
        <v>301</v>
      </c>
      <c r="I134" s="21">
        <v>8</v>
      </c>
      <c r="J134" s="21">
        <v>8</v>
      </c>
      <c r="K134" s="24"/>
      <c r="L134" s="21" t="s">
        <v>179</v>
      </c>
    </row>
    <row r="135" spans="1:12" ht="14.5" thickBot="1" x14ac:dyDescent="0.35">
      <c r="A135">
        <v>1231</v>
      </c>
      <c r="B135" s="21" t="s">
        <v>432</v>
      </c>
      <c r="C135" s="21" t="s">
        <v>430</v>
      </c>
      <c r="D135" s="21" t="s">
        <v>202</v>
      </c>
      <c r="E135" s="22">
        <v>45944</v>
      </c>
      <c r="F135" s="23">
        <v>0.63472222222222219</v>
      </c>
      <c r="G135" s="21" t="s">
        <v>415</v>
      </c>
      <c r="H135" s="21" t="s">
        <v>301</v>
      </c>
      <c r="I135" s="21">
        <v>8</v>
      </c>
      <c r="J135" s="21">
        <v>8</v>
      </c>
      <c r="K135" s="24"/>
      <c r="L135" s="21" t="s">
        <v>179</v>
      </c>
    </row>
    <row r="136" spans="1:12" ht="14.5" thickBot="1" x14ac:dyDescent="0.35">
      <c r="A136">
        <v>1231</v>
      </c>
      <c r="B136" s="21" t="s">
        <v>433</v>
      </c>
      <c r="C136" s="21" t="s">
        <v>430</v>
      </c>
      <c r="D136" s="21" t="s">
        <v>202</v>
      </c>
      <c r="E136" s="22">
        <v>45944</v>
      </c>
      <c r="F136" s="23">
        <v>0.89583333333333337</v>
      </c>
      <c r="G136" s="21" t="s">
        <v>415</v>
      </c>
      <c r="H136" s="21" t="s">
        <v>301</v>
      </c>
      <c r="I136" s="21">
        <v>8</v>
      </c>
      <c r="J136" s="21">
        <v>8</v>
      </c>
      <c r="K136" s="24"/>
      <c r="L136" s="21" t="s">
        <v>179</v>
      </c>
    </row>
    <row r="137" spans="1:12" ht="14.5" thickBot="1" x14ac:dyDescent="0.35">
      <c r="A137">
        <v>1231</v>
      </c>
      <c r="B137" s="21" t="s">
        <v>434</v>
      </c>
      <c r="C137" s="21" t="s">
        <v>435</v>
      </c>
      <c r="D137" s="21" t="s">
        <v>202</v>
      </c>
      <c r="E137" s="22">
        <v>45944</v>
      </c>
      <c r="F137" s="23">
        <v>0.34375</v>
      </c>
      <c r="G137" s="21" t="s">
        <v>415</v>
      </c>
      <c r="H137" s="21" t="s">
        <v>301</v>
      </c>
      <c r="I137" s="21">
        <v>24</v>
      </c>
      <c r="J137" s="21">
        <v>24</v>
      </c>
      <c r="K137" s="24"/>
      <c r="L137" s="21" t="s">
        <v>179</v>
      </c>
    </row>
    <row r="138" spans="1:12" ht="14.5" thickBot="1" x14ac:dyDescent="0.35">
      <c r="A138">
        <v>1231</v>
      </c>
      <c r="B138" s="21" t="s">
        <v>436</v>
      </c>
      <c r="C138" s="21" t="s">
        <v>435</v>
      </c>
      <c r="D138" s="21" t="s">
        <v>202</v>
      </c>
      <c r="E138" s="22">
        <v>45944</v>
      </c>
      <c r="F138" s="23">
        <v>0.49930555555555556</v>
      </c>
      <c r="G138" s="21" t="s">
        <v>415</v>
      </c>
      <c r="H138" s="21" t="s">
        <v>301</v>
      </c>
      <c r="I138" s="21">
        <v>16</v>
      </c>
      <c r="J138" s="21">
        <v>16</v>
      </c>
      <c r="K138" s="24"/>
      <c r="L138" s="21" t="s">
        <v>179</v>
      </c>
    </row>
    <row r="139" spans="1:12" ht="14.5" thickBot="1" x14ac:dyDescent="0.35">
      <c r="A139">
        <v>1231</v>
      </c>
      <c r="B139" s="21" t="s">
        <v>437</v>
      </c>
      <c r="C139" s="21" t="s">
        <v>435</v>
      </c>
      <c r="D139" s="21" t="s">
        <v>202</v>
      </c>
      <c r="E139" s="22">
        <v>45944</v>
      </c>
      <c r="F139" s="23">
        <v>0.63472222222222219</v>
      </c>
      <c r="G139" s="21" t="s">
        <v>415</v>
      </c>
      <c r="H139" s="21" t="s">
        <v>301</v>
      </c>
      <c r="I139" s="21">
        <v>16</v>
      </c>
      <c r="J139" s="21">
        <v>16</v>
      </c>
      <c r="K139" s="24"/>
      <c r="L139" s="21" t="s">
        <v>179</v>
      </c>
    </row>
    <row r="140" spans="1:12" ht="14.5" thickBot="1" x14ac:dyDescent="0.35">
      <c r="A140">
        <v>1231</v>
      </c>
      <c r="B140" s="21" t="s">
        <v>438</v>
      </c>
      <c r="C140" s="21" t="s">
        <v>435</v>
      </c>
      <c r="D140" s="21" t="s">
        <v>202</v>
      </c>
      <c r="E140" s="22">
        <v>45944</v>
      </c>
      <c r="F140" s="23">
        <v>0.77152777777777781</v>
      </c>
      <c r="G140" s="21" t="s">
        <v>415</v>
      </c>
      <c r="H140" s="21" t="s">
        <v>301</v>
      </c>
      <c r="I140" s="21">
        <v>16</v>
      </c>
      <c r="J140" s="21">
        <v>16</v>
      </c>
      <c r="K140" s="24"/>
      <c r="L140" s="21" t="s">
        <v>179</v>
      </c>
    </row>
    <row r="141" spans="1:12" ht="14.5" thickBot="1" x14ac:dyDescent="0.35">
      <c r="A141">
        <v>1231</v>
      </c>
      <c r="B141" s="21" t="s">
        <v>439</v>
      </c>
      <c r="C141" s="21" t="s">
        <v>435</v>
      </c>
      <c r="D141" s="21" t="s">
        <v>202</v>
      </c>
      <c r="E141" s="22">
        <v>45944</v>
      </c>
      <c r="F141" s="23">
        <v>0.89583333333333337</v>
      </c>
      <c r="G141" s="21" t="s">
        <v>415</v>
      </c>
      <c r="H141" s="21" t="s">
        <v>301</v>
      </c>
      <c r="I141" s="21">
        <v>16</v>
      </c>
      <c r="J141" s="21">
        <v>16</v>
      </c>
      <c r="K141" s="24"/>
      <c r="L141" s="21" t="s">
        <v>179</v>
      </c>
    </row>
    <row r="142" spans="1:12" ht="14.5" thickBot="1" x14ac:dyDescent="0.35">
      <c r="A142">
        <v>1231</v>
      </c>
      <c r="B142" s="21" t="s">
        <v>440</v>
      </c>
      <c r="C142" s="21" t="s">
        <v>435</v>
      </c>
      <c r="D142" s="21" t="s">
        <v>202</v>
      </c>
      <c r="E142" s="22">
        <v>45944</v>
      </c>
      <c r="F142" s="23">
        <v>0.89652777777777781</v>
      </c>
      <c r="G142" s="21" t="s">
        <v>415</v>
      </c>
      <c r="H142" s="21" t="s">
        <v>301</v>
      </c>
      <c r="I142" s="21">
        <v>8</v>
      </c>
      <c r="J142" s="21">
        <v>8</v>
      </c>
      <c r="K142" s="24"/>
      <c r="L142" s="21" t="s">
        <v>179</v>
      </c>
    </row>
    <row r="143" spans="1:12" ht="14.5" thickBot="1" x14ac:dyDescent="0.35">
      <c r="A143">
        <v>1231</v>
      </c>
      <c r="B143" s="21" t="s">
        <v>441</v>
      </c>
      <c r="C143" s="21" t="s">
        <v>442</v>
      </c>
      <c r="D143" s="21" t="s">
        <v>373</v>
      </c>
      <c r="E143" s="22">
        <v>45944</v>
      </c>
      <c r="F143" s="23">
        <v>0.34375</v>
      </c>
      <c r="G143" s="21" t="s">
        <v>374</v>
      </c>
      <c r="H143" s="21" t="s">
        <v>251</v>
      </c>
      <c r="I143" s="21">
        <v>80</v>
      </c>
      <c r="J143" s="21">
        <v>80</v>
      </c>
      <c r="K143" s="24"/>
      <c r="L143" s="21" t="s">
        <v>179</v>
      </c>
    </row>
    <row r="144" spans="1:12" ht="14.5" thickBot="1" x14ac:dyDescent="0.35">
      <c r="A144">
        <v>1231</v>
      </c>
      <c r="B144" s="21" t="s">
        <v>443</v>
      </c>
      <c r="C144" s="21" t="s">
        <v>442</v>
      </c>
      <c r="D144" s="21" t="s">
        <v>373</v>
      </c>
      <c r="E144" s="22">
        <v>45944</v>
      </c>
      <c r="F144" s="23">
        <v>0.49930555555555556</v>
      </c>
      <c r="G144" s="21" t="s">
        <v>374</v>
      </c>
      <c r="H144" s="21" t="s">
        <v>251</v>
      </c>
      <c r="I144" s="21">
        <v>56</v>
      </c>
      <c r="J144" s="21">
        <v>56</v>
      </c>
      <c r="K144" s="24"/>
      <c r="L144" s="21" t="s">
        <v>179</v>
      </c>
    </row>
    <row r="145" spans="1:12" ht="14.5" thickBot="1" x14ac:dyDescent="0.35">
      <c r="A145">
        <v>1231</v>
      </c>
      <c r="B145" s="21" t="s">
        <v>444</v>
      </c>
      <c r="C145" s="21" t="s">
        <v>445</v>
      </c>
      <c r="D145" s="21" t="s">
        <v>446</v>
      </c>
      <c r="E145" s="22">
        <v>45944</v>
      </c>
      <c r="F145" s="23">
        <v>0.34375</v>
      </c>
      <c r="G145" s="21" t="s">
        <v>374</v>
      </c>
      <c r="H145" s="21" t="s">
        <v>247</v>
      </c>
      <c r="I145" s="21">
        <v>168</v>
      </c>
      <c r="J145" s="21">
        <v>168</v>
      </c>
      <c r="K145" s="24"/>
      <c r="L145" s="21" t="s">
        <v>179</v>
      </c>
    </row>
    <row r="146" spans="1:12" ht="14.5" thickBot="1" x14ac:dyDescent="0.35">
      <c r="A146">
        <v>1231</v>
      </c>
      <c r="B146" s="21" t="s">
        <v>447</v>
      </c>
      <c r="C146" s="21" t="s">
        <v>445</v>
      </c>
      <c r="D146" s="21" t="s">
        <v>446</v>
      </c>
      <c r="E146" s="22">
        <v>45944</v>
      </c>
      <c r="F146" s="23">
        <v>0.49930555555555556</v>
      </c>
      <c r="G146" s="21" t="s">
        <v>374</v>
      </c>
      <c r="H146" s="21" t="s">
        <v>247</v>
      </c>
      <c r="I146" s="21">
        <v>88</v>
      </c>
      <c r="J146" s="21">
        <v>88</v>
      </c>
      <c r="K146" s="24"/>
      <c r="L146" s="21" t="s">
        <v>179</v>
      </c>
    </row>
    <row r="147" spans="1:12" ht="14.5" thickBot="1" x14ac:dyDescent="0.35">
      <c r="A147">
        <v>1231</v>
      </c>
      <c r="B147" s="21" t="s">
        <v>448</v>
      </c>
      <c r="C147" s="21" t="s">
        <v>449</v>
      </c>
      <c r="D147" s="21" t="s">
        <v>446</v>
      </c>
      <c r="E147" s="22">
        <v>45944</v>
      </c>
      <c r="F147" s="23">
        <v>0.34375</v>
      </c>
      <c r="G147" s="21" t="s">
        <v>374</v>
      </c>
      <c r="H147" s="21" t="s">
        <v>258</v>
      </c>
      <c r="I147" s="21">
        <v>72</v>
      </c>
      <c r="J147" s="21">
        <v>72</v>
      </c>
      <c r="K147" s="24"/>
      <c r="L147" s="21" t="s">
        <v>179</v>
      </c>
    </row>
    <row r="148" spans="1:12" ht="14.5" thickBot="1" x14ac:dyDescent="0.35">
      <c r="A148">
        <v>1231</v>
      </c>
      <c r="B148" s="21" t="s">
        <v>450</v>
      </c>
      <c r="C148" s="21" t="s">
        <v>449</v>
      </c>
      <c r="D148" s="21" t="s">
        <v>446</v>
      </c>
      <c r="E148" s="22">
        <v>45944</v>
      </c>
      <c r="F148" s="23">
        <v>0.35347222222222224</v>
      </c>
      <c r="G148" s="21" t="s">
        <v>282</v>
      </c>
      <c r="H148" s="21" t="s">
        <v>256</v>
      </c>
      <c r="I148" s="21">
        <v>8</v>
      </c>
      <c r="J148" s="21">
        <v>8</v>
      </c>
      <c r="K148" s="24"/>
      <c r="L148" s="21" t="s">
        <v>179</v>
      </c>
    </row>
    <row r="149" spans="1:12" ht="14.5" thickBot="1" x14ac:dyDescent="0.35">
      <c r="A149">
        <v>1231</v>
      </c>
      <c r="B149" s="21" t="s">
        <v>451</v>
      </c>
      <c r="C149" s="21" t="s">
        <v>449</v>
      </c>
      <c r="D149" s="21" t="s">
        <v>446</v>
      </c>
      <c r="E149" s="22">
        <v>45944</v>
      </c>
      <c r="F149" s="23">
        <v>0.49930555555555556</v>
      </c>
      <c r="G149" s="21" t="s">
        <v>374</v>
      </c>
      <c r="H149" s="21" t="s">
        <v>258</v>
      </c>
      <c r="I149" s="21">
        <v>88</v>
      </c>
      <c r="J149" s="21">
        <v>88</v>
      </c>
      <c r="K149" s="24"/>
      <c r="L149" s="21" t="s">
        <v>179</v>
      </c>
    </row>
    <row r="150" spans="1:12" ht="14.5" thickBot="1" x14ac:dyDescent="0.35">
      <c r="A150">
        <v>1231</v>
      </c>
      <c r="B150" s="21" t="s">
        <v>452</v>
      </c>
      <c r="C150" s="21" t="s">
        <v>449</v>
      </c>
      <c r="D150" s="21" t="s">
        <v>446</v>
      </c>
      <c r="E150" s="22">
        <v>45944</v>
      </c>
      <c r="F150" s="23">
        <v>0.52083333333333337</v>
      </c>
      <c r="G150" s="21" t="s">
        <v>282</v>
      </c>
      <c r="H150" s="21" t="s">
        <v>256</v>
      </c>
      <c r="I150" s="21">
        <v>8</v>
      </c>
      <c r="J150" s="21">
        <v>8</v>
      </c>
      <c r="K150" s="24"/>
      <c r="L150" s="21" t="s">
        <v>179</v>
      </c>
    </row>
    <row r="151" spans="1:12" ht="14.5" thickBot="1" x14ac:dyDescent="0.35">
      <c r="A151">
        <v>1231</v>
      </c>
      <c r="B151" s="21" t="s">
        <v>453</v>
      </c>
      <c r="C151" s="21" t="s">
        <v>449</v>
      </c>
      <c r="D151" s="21" t="s">
        <v>446</v>
      </c>
      <c r="E151" s="22">
        <v>45944</v>
      </c>
      <c r="F151" s="23">
        <v>0.77083333333333337</v>
      </c>
      <c r="G151" s="21" t="s">
        <v>282</v>
      </c>
      <c r="H151" s="21" t="s">
        <v>256</v>
      </c>
      <c r="I151" s="21">
        <v>8</v>
      </c>
      <c r="J151" s="21">
        <v>8</v>
      </c>
      <c r="K151" s="24"/>
      <c r="L151" s="21" t="s">
        <v>179</v>
      </c>
    </row>
    <row r="152" spans="1:12" ht="14.5" thickBot="1" x14ac:dyDescent="0.35">
      <c r="A152">
        <v>1231</v>
      </c>
      <c r="B152" s="21" t="s">
        <v>454</v>
      </c>
      <c r="C152" s="21" t="s">
        <v>449</v>
      </c>
      <c r="D152" s="21" t="s">
        <v>446</v>
      </c>
      <c r="E152" s="22">
        <v>45944</v>
      </c>
      <c r="F152" s="23">
        <v>0.89583333333333337</v>
      </c>
      <c r="G152" s="21" t="s">
        <v>282</v>
      </c>
      <c r="H152" s="21" t="s">
        <v>256</v>
      </c>
      <c r="I152" s="21">
        <v>40</v>
      </c>
      <c r="J152" s="21">
        <v>40</v>
      </c>
      <c r="K152" s="24"/>
      <c r="L152" s="21" t="s">
        <v>179</v>
      </c>
    </row>
    <row r="153" spans="1:12" ht="14.5" thickBot="1" x14ac:dyDescent="0.35">
      <c r="A153">
        <v>1231</v>
      </c>
      <c r="B153" s="21" t="s">
        <v>455</v>
      </c>
      <c r="C153" s="21" t="s">
        <v>449</v>
      </c>
      <c r="D153" s="21" t="s">
        <v>446</v>
      </c>
      <c r="E153" s="22">
        <v>45944</v>
      </c>
      <c r="F153" s="23">
        <v>0.89652777777777781</v>
      </c>
      <c r="G153" s="21" t="s">
        <v>282</v>
      </c>
      <c r="H153" s="21" t="s">
        <v>256</v>
      </c>
      <c r="I153" s="21">
        <v>16</v>
      </c>
      <c r="J153" s="21">
        <v>16</v>
      </c>
      <c r="K153" s="24"/>
      <c r="L153" s="21" t="s">
        <v>179</v>
      </c>
    </row>
    <row r="154" spans="1:12" ht="14.5" thickBot="1" x14ac:dyDescent="0.35">
      <c r="A154">
        <v>1231</v>
      </c>
      <c r="B154" s="21" t="s">
        <v>456</v>
      </c>
      <c r="C154" s="21" t="s">
        <v>457</v>
      </c>
      <c r="D154" s="21" t="s">
        <v>209</v>
      </c>
      <c r="E154" s="22">
        <v>45944</v>
      </c>
      <c r="F154" s="23">
        <v>0.35347222222222224</v>
      </c>
      <c r="G154" s="21" t="s">
        <v>358</v>
      </c>
      <c r="H154" s="21" t="s">
        <v>390</v>
      </c>
      <c r="I154" s="21">
        <v>24</v>
      </c>
      <c r="J154" s="21">
        <v>24</v>
      </c>
      <c r="K154" s="24"/>
      <c r="L154" s="21" t="s">
        <v>179</v>
      </c>
    </row>
    <row r="155" spans="1:12" ht="14.5" thickBot="1" x14ac:dyDescent="0.35">
      <c r="A155">
        <v>1231</v>
      </c>
      <c r="B155" s="21" t="s">
        <v>458</v>
      </c>
      <c r="C155" s="21" t="s">
        <v>457</v>
      </c>
      <c r="D155" s="21" t="s">
        <v>209</v>
      </c>
      <c r="E155" s="22">
        <v>45944</v>
      </c>
      <c r="F155" s="23">
        <v>0.52083333333333337</v>
      </c>
      <c r="G155" s="21" t="s">
        <v>358</v>
      </c>
      <c r="H155" s="21" t="s">
        <v>390</v>
      </c>
      <c r="I155" s="21">
        <v>16</v>
      </c>
      <c r="J155" s="21">
        <v>16</v>
      </c>
      <c r="K155" s="24"/>
      <c r="L155" s="21" t="s">
        <v>179</v>
      </c>
    </row>
    <row r="156" spans="1:12" ht="14.5" thickBot="1" x14ac:dyDescent="0.35">
      <c r="A156">
        <v>1231</v>
      </c>
      <c r="B156" s="21" t="s">
        <v>459</v>
      </c>
      <c r="C156" s="21" t="s">
        <v>457</v>
      </c>
      <c r="D156" s="21" t="s">
        <v>209</v>
      </c>
      <c r="E156" s="22">
        <v>45944</v>
      </c>
      <c r="F156" s="23">
        <v>0.64583333333333337</v>
      </c>
      <c r="G156" s="21" t="s">
        <v>358</v>
      </c>
      <c r="H156" s="21" t="s">
        <v>390</v>
      </c>
      <c r="I156" s="21">
        <v>16</v>
      </c>
      <c r="J156" s="21">
        <v>16</v>
      </c>
      <c r="K156" s="24"/>
      <c r="L156" s="21" t="s">
        <v>179</v>
      </c>
    </row>
    <row r="157" spans="1:12" ht="14.5" thickBot="1" x14ac:dyDescent="0.35">
      <c r="A157">
        <v>1231</v>
      </c>
      <c r="B157" s="21" t="s">
        <v>460</v>
      </c>
      <c r="C157" s="21" t="s">
        <v>457</v>
      </c>
      <c r="D157" s="21" t="s">
        <v>209</v>
      </c>
      <c r="E157" s="22">
        <v>45944</v>
      </c>
      <c r="F157" s="23">
        <v>0.77083333333333337</v>
      </c>
      <c r="G157" s="21" t="s">
        <v>358</v>
      </c>
      <c r="H157" s="21" t="s">
        <v>390</v>
      </c>
      <c r="I157" s="21">
        <v>40</v>
      </c>
      <c r="J157" s="21">
        <v>40</v>
      </c>
      <c r="K157" s="24"/>
      <c r="L157" s="21" t="s">
        <v>179</v>
      </c>
    </row>
    <row r="158" spans="1:12" ht="14.5" thickBot="1" x14ac:dyDescent="0.35">
      <c r="A158">
        <v>1231</v>
      </c>
      <c r="B158" s="21" t="s">
        <v>461</v>
      </c>
      <c r="C158" s="21" t="s">
        <v>457</v>
      </c>
      <c r="D158" s="21" t="s">
        <v>209</v>
      </c>
      <c r="E158" s="22">
        <v>45944</v>
      </c>
      <c r="F158" s="23">
        <v>0.89583333333333337</v>
      </c>
      <c r="G158" s="21" t="s">
        <v>358</v>
      </c>
      <c r="H158" s="21" t="s">
        <v>390</v>
      </c>
      <c r="I158" s="21">
        <v>32</v>
      </c>
      <c r="J158" s="21">
        <v>32</v>
      </c>
      <c r="K158" s="24"/>
      <c r="L158" s="21" t="s">
        <v>179</v>
      </c>
    </row>
    <row r="159" spans="1:12" ht="14.5" thickBot="1" x14ac:dyDescent="0.35">
      <c r="A159">
        <v>1231</v>
      </c>
      <c r="B159" s="21" t="s">
        <v>462</v>
      </c>
      <c r="C159" s="21" t="s">
        <v>463</v>
      </c>
      <c r="D159" s="21" t="s">
        <v>209</v>
      </c>
      <c r="E159" s="22">
        <v>45944</v>
      </c>
      <c r="F159" s="23">
        <v>0.35347222222222224</v>
      </c>
      <c r="G159" s="21" t="s">
        <v>358</v>
      </c>
      <c r="H159" s="21" t="s">
        <v>386</v>
      </c>
      <c r="I159" s="21">
        <v>8</v>
      </c>
      <c r="J159" s="21">
        <v>8</v>
      </c>
      <c r="K159" s="24"/>
      <c r="L159" s="21" t="s">
        <v>179</v>
      </c>
    </row>
    <row r="160" spans="1:12" ht="14.5" thickBot="1" x14ac:dyDescent="0.35">
      <c r="A160">
        <v>1231</v>
      </c>
      <c r="B160" s="21" t="s">
        <v>464</v>
      </c>
      <c r="C160" s="21" t="s">
        <v>463</v>
      </c>
      <c r="D160" s="21" t="s">
        <v>209</v>
      </c>
      <c r="E160" s="22">
        <v>45944</v>
      </c>
      <c r="F160" s="23">
        <v>0.52083333333333337</v>
      </c>
      <c r="G160" s="21" t="s">
        <v>358</v>
      </c>
      <c r="H160" s="21" t="s">
        <v>386</v>
      </c>
      <c r="I160" s="21">
        <v>16</v>
      </c>
      <c r="J160" s="21">
        <v>16</v>
      </c>
      <c r="K160" s="24"/>
      <c r="L160" s="21" t="s">
        <v>179</v>
      </c>
    </row>
    <row r="161" spans="1:12" ht="14.5" thickBot="1" x14ac:dyDescent="0.35">
      <c r="A161">
        <v>1231</v>
      </c>
      <c r="B161" s="21" t="s">
        <v>465</v>
      </c>
      <c r="C161" s="21" t="s">
        <v>463</v>
      </c>
      <c r="D161" s="21" t="s">
        <v>209</v>
      </c>
      <c r="E161" s="22">
        <v>45944</v>
      </c>
      <c r="F161" s="23">
        <v>0.77083333333333337</v>
      </c>
      <c r="G161" s="21" t="s">
        <v>358</v>
      </c>
      <c r="H161" s="21" t="s">
        <v>386</v>
      </c>
      <c r="I161" s="21">
        <v>16</v>
      </c>
      <c r="J161" s="21">
        <v>16</v>
      </c>
      <c r="K161" s="24"/>
      <c r="L161" s="21" t="s">
        <v>179</v>
      </c>
    </row>
    <row r="162" spans="1:12" ht="14.5" thickBot="1" x14ac:dyDescent="0.35">
      <c r="A162">
        <v>1231</v>
      </c>
      <c r="B162" s="21" t="s">
        <v>466</v>
      </c>
      <c r="C162" s="21" t="s">
        <v>463</v>
      </c>
      <c r="D162" s="21" t="s">
        <v>209</v>
      </c>
      <c r="E162" s="22">
        <v>45944</v>
      </c>
      <c r="F162" s="23">
        <v>0.89583333333333337</v>
      </c>
      <c r="G162" s="21" t="s">
        <v>358</v>
      </c>
      <c r="H162" s="21" t="s">
        <v>386</v>
      </c>
      <c r="I162" s="21">
        <v>8</v>
      </c>
      <c r="J162" s="21">
        <v>8</v>
      </c>
      <c r="K162" s="24"/>
      <c r="L162" s="21" t="s">
        <v>179</v>
      </c>
    </row>
    <row r="163" spans="1:12" ht="14.5" thickBot="1" x14ac:dyDescent="0.35">
      <c r="A163">
        <v>1231</v>
      </c>
      <c r="B163" s="21" t="s">
        <v>467</v>
      </c>
      <c r="C163" s="21" t="s">
        <v>468</v>
      </c>
      <c r="D163" s="21" t="s">
        <v>209</v>
      </c>
      <c r="E163" s="22">
        <v>45944</v>
      </c>
      <c r="F163" s="23">
        <v>0.35347222222222224</v>
      </c>
      <c r="G163" s="21" t="s">
        <v>402</v>
      </c>
      <c r="H163" s="21" t="s">
        <v>403</v>
      </c>
      <c r="I163" s="21">
        <v>88</v>
      </c>
      <c r="J163" s="21">
        <v>88</v>
      </c>
      <c r="K163" s="24"/>
      <c r="L163" s="21" t="s">
        <v>179</v>
      </c>
    </row>
    <row r="164" spans="1:12" ht="14.5" thickBot="1" x14ac:dyDescent="0.35">
      <c r="A164">
        <v>1231</v>
      </c>
      <c r="B164" s="21" t="s">
        <v>469</v>
      </c>
      <c r="C164" s="21" t="s">
        <v>468</v>
      </c>
      <c r="D164" s="21" t="s">
        <v>209</v>
      </c>
      <c r="E164" s="22">
        <v>45944</v>
      </c>
      <c r="F164" s="23">
        <v>0.35347222222222224</v>
      </c>
      <c r="G164" s="21" t="s">
        <v>358</v>
      </c>
      <c r="H164" s="21" t="s">
        <v>386</v>
      </c>
      <c r="I164" s="21">
        <v>72</v>
      </c>
      <c r="J164" s="21">
        <v>72</v>
      </c>
      <c r="K164" s="24"/>
      <c r="L164" s="21" t="s">
        <v>179</v>
      </c>
    </row>
    <row r="165" spans="1:12" ht="14.5" thickBot="1" x14ac:dyDescent="0.35">
      <c r="A165">
        <v>1231</v>
      </c>
      <c r="B165" s="21" t="s">
        <v>470</v>
      </c>
      <c r="C165" s="21" t="s">
        <v>468</v>
      </c>
      <c r="D165" s="21" t="s">
        <v>209</v>
      </c>
      <c r="E165" s="22">
        <v>45944</v>
      </c>
      <c r="F165" s="23">
        <v>0.52083333333333337</v>
      </c>
      <c r="G165" s="21" t="s">
        <v>402</v>
      </c>
      <c r="H165" s="21" t="s">
        <v>403</v>
      </c>
      <c r="I165" s="21">
        <v>64</v>
      </c>
      <c r="J165" s="21">
        <v>64</v>
      </c>
      <c r="K165" s="24"/>
      <c r="L165" s="21" t="s">
        <v>179</v>
      </c>
    </row>
    <row r="166" spans="1:12" ht="14.5" thickBot="1" x14ac:dyDescent="0.35">
      <c r="A166">
        <v>1231</v>
      </c>
      <c r="B166" s="21" t="s">
        <v>471</v>
      </c>
      <c r="C166" s="21" t="s">
        <v>468</v>
      </c>
      <c r="D166" s="21" t="s">
        <v>209</v>
      </c>
      <c r="E166" s="22">
        <v>45944</v>
      </c>
      <c r="F166" s="23">
        <v>0.52083333333333337</v>
      </c>
      <c r="G166" s="21" t="s">
        <v>358</v>
      </c>
      <c r="H166" s="21" t="s">
        <v>386</v>
      </c>
      <c r="I166" s="21">
        <v>56</v>
      </c>
      <c r="J166" s="21">
        <v>56</v>
      </c>
      <c r="K166" s="24"/>
      <c r="L166" s="21" t="s">
        <v>179</v>
      </c>
    </row>
    <row r="167" spans="1:12" ht="14.5" thickBot="1" x14ac:dyDescent="0.35">
      <c r="A167">
        <v>1231</v>
      </c>
      <c r="B167" s="21" t="s">
        <v>472</v>
      </c>
      <c r="C167" s="21" t="s">
        <v>468</v>
      </c>
      <c r="D167" s="21" t="s">
        <v>209</v>
      </c>
      <c r="E167" s="22">
        <v>45944</v>
      </c>
      <c r="F167" s="23">
        <v>0.64583333333333337</v>
      </c>
      <c r="G167" s="21" t="s">
        <v>402</v>
      </c>
      <c r="H167" s="21" t="s">
        <v>403</v>
      </c>
      <c r="I167" s="21">
        <v>72</v>
      </c>
      <c r="J167" s="21">
        <v>72</v>
      </c>
      <c r="K167" s="24"/>
      <c r="L167" s="21" t="s">
        <v>179</v>
      </c>
    </row>
    <row r="168" spans="1:12" ht="14.5" thickBot="1" x14ac:dyDescent="0.35">
      <c r="A168">
        <v>1231</v>
      </c>
      <c r="B168" s="21" t="s">
        <v>473</v>
      </c>
      <c r="C168" s="21" t="s">
        <v>468</v>
      </c>
      <c r="D168" s="21" t="s">
        <v>209</v>
      </c>
      <c r="E168" s="22">
        <v>45944</v>
      </c>
      <c r="F168" s="23">
        <v>0.64583333333333337</v>
      </c>
      <c r="G168" s="21" t="s">
        <v>358</v>
      </c>
      <c r="H168" s="21" t="s">
        <v>386</v>
      </c>
      <c r="I168" s="21">
        <v>56</v>
      </c>
      <c r="J168" s="21">
        <v>56</v>
      </c>
      <c r="K168" s="24"/>
      <c r="L168" s="21" t="s">
        <v>179</v>
      </c>
    </row>
    <row r="169" spans="1:12" ht="14.5" thickBot="1" x14ac:dyDescent="0.35">
      <c r="A169">
        <v>1231</v>
      </c>
      <c r="B169" s="21" t="s">
        <v>474</v>
      </c>
      <c r="C169" s="21" t="s">
        <v>468</v>
      </c>
      <c r="D169" s="21" t="s">
        <v>209</v>
      </c>
      <c r="E169" s="22">
        <v>45944</v>
      </c>
      <c r="F169" s="23">
        <v>0.77083333333333337</v>
      </c>
      <c r="G169" s="21" t="s">
        <v>402</v>
      </c>
      <c r="H169" s="21" t="s">
        <v>403</v>
      </c>
      <c r="I169" s="21">
        <v>120</v>
      </c>
      <c r="J169" s="21">
        <v>120</v>
      </c>
      <c r="K169" s="24"/>
      <c r="L169" s="21" t="s">
        <v>179</v>
      </c>
    </row>
    <row r="170" spans="1:12" ht="14.5" thickBot="1" x14ac:dyDescent="0.35">
      <c r="A170">
        <v>1231</v>
      </c>
      <c r="B170" s="21" t="s">
        <v>475</v>
      </c>
      <c r="C170" s="21" t="s">
        <v>468</v>
      </c>
      <c r="D170" s="21" t="s">
        <v>209</v>
      </c>
      <c r="E170" s="22">
        <v>45944</v>
      </c>
      <c r="F170" s="23">
        <v>0.77083333333333337</v>
      </c>
      <c r="G170" s="21" t="s">
        <v>358</v>
      </c>
      <c r="H170" s="21" t="s">
        <v>386</v>
      </c>
      <c r="I170" s="21">
        <v>112</v>
      </c>
      <c r="J170" s="21">
        <v>112</v>
      </c>
      <c r="K170" s="24"/>
      <c r="L170" s="21" t="s">
        <v>179</v>
      </c>
    </row>
    <row r="171" spans="1:12" ht="14.5" thickBot="1" x14ac:dyDescent="0.35">
      <c r="A171">
        <v>1231</v>
      </c>
      <c r="B171" s="21" t="s">
        <v>476</v>
      </c>
      <c r="C171" s="21" t="s">
        <v>468</v>
      </c>
      <c r="D171" s="21" t="s">
        <v>209</v>
      </c>
      <c r="E171" s="22">
        <v>45944</v>
      </c>
      <c r="F171" s="23">
        <v>0.89583333333333337</v>
      </c>
      <c r="G171" s="21" t="s">
        <v>358</v>
      </c>
      <c r="H171" s="21" t="s">
        <v>386</v>
      </c>
      <c r="I171" s="21">
        <v>56</v>
      </c>
      <c r="J171" s="21">
        <v>56</v>
      </c>
      <c r="K171" s="24"/>
      <c r="L171" s="21" t="s">
        <v>179</v>
      </c>
    </row>
    <row r="172" spans="1:12" ht="14.5" thickBot="1" x14ac:dyDescent="0.35">
      <c r="A172">
        <v>1231</v>
      </c>
      <c r="B172" s="21" t="s">
        <v>477</v>
      </c>
      <c r="C172" s="21" t="s">
        <v>468</v>
      </c>
      <c r="D172" s="21" t="s">
        <v>209</v>
      </c>
      <c r="E172" s="22">
        <v>45944</v>
      </c>
      <c r="F172" s="23">
        <v>0.89583333333333337</v>
      </c>
      <c r="G172" s="21" t="s">
        <v>402</v>
      </c>
      <c r="H172" s="21" t="s">
        <v>403</v>
      </c>
      <c r="I172" s="21">
        <v>40</v>
      </c>
      <c r="J172" s="21">
        <v>40</v>
      </c>
      <c r="K172" s="24"/>
      <c r="L172" s="21" t="s">
        <v>179</v>
      </c>
    </row>
    <row r="173" spans="1:12" ht="14.5" thickBot="1" x14ac:dyDescent="0.35">
      <c r="A173">
        <v>1231</v>
      </c>
      <c r="B173" s="21" t="s">
        <v>478</v>
      </c>
      <c r="C173" s="21" t="s">
        <v>479</v>
      </c>
      <c r="D173" s="21" t="s">
        <v>209</v>
      </c>
      <c r="E173" s="22">
        <v>45944</v>
      </c>
      <c r="F173" s="23">
        <v>0.35347222222222224</v>
      </c>
      <c r="G173" s="21" t="s">
        <v>358</v>
      </c>
      <c r="H173" s="21" t="s">
        <v>386</v>
      </c>
      <c r="I173" s="21">
        <v>8</v>
      </c>
      <c r="J173" s="21">
        <v>8</v>
      </c>
      <c r="K173" s="24"/>
      <c r="L173" s="21" t="s">
        <v>179</v>
      </c>
    </row>
    <row r="174" spans="1:12" ht="14.5" thickBot="1" x14ac:dyDescent="0.35">
      <c r="A174">
        <v>1231</v>
      </c>
      <c r="B174" s="21" t="s">
        <v>480</v>
      </c>
      <c r="C174" s="21" t="s">
        <v>479</v>
      </c>
      <c r="D174" s="21" t="s">
        <v>209</v>
      </c>
      <c r="E174" s="22">
        <v>45944</v>
      </c>
      <c r="F174" s="23">
        <v>0.77083333333333337</v>
      </c>
      <c r="G174" s="21" t="s">
        <v>358</v>
      </c>
      <c r="H174" s="21" t="s">
        <v>386</v>
      </c>
      <c r="I174" s="21">
        <v>8</v>
      </c>
      <c r="J174" s="21">
        <v>8</v>
      </c>
      <c r="K174" s="24"/>
      <c r="L174" s="21" t="s">
        <v>179</v>
      </c>
    </row>
    <row r="175" spans="1:12" ht="14.5" thickBot="1" x14ac:dyDescent="0.35">
      <c r="A175">
        <v>1231</v>
      </c>
      <c r="B175" s="21" t="s">
        <v>481</v>
      </c>
      <c r="C175" s="21" t="s">
        <v>482</v>
      </c>
      <c r="D175" s="21" t="s">
        <v>209</v>
      </c>
      <c r="E175" s="22">
        <v>45944</v>
      </c>
      <c r="F175" s="23">
        <v>0.34375</v>
      </c>
      <c r="G175" s="21" t="s">
        <v>282</v>
      </c>
      <c r="H175" s="21" t="s">
        <v>301</v>
      </c>
      <c r="I175" s="21">
        <v>8</v>
      </c>
      <c r="J175" s="21">
        <v>8</v>
      </c>
      <c r="K175" s="24"/>
      <c r="L175" s="21" t="s">
        <v>179</v>
      </c>
    </row>
    <row r="176" spans="1:12" ht="14.5" thickBot="1" x14ac:dyDescent="0.35">
      <c r="A176">
        <v>1231</v>
      </c>
      <c r="B176" s="21" t="s">
        <v>483</v>
      </c>
      <c r="C176" s="21" t="s">
        <v>482</v>
      </c>
      <c r="D176" s="21" t="s">
        <v>209</v>
      </c>
      <c r="E176" s="22">
        <v>45944</v>
      </c>
      <c r="F176" s="23">
        <v>0.49930555555555556</v>
      </c>
      <c r="G176" s="21" t="s">
        <v>282</v>
      </c>
      <c r="H176" s="21" t="s">
        <v>301</v>
      </c>
      <c r="I176" s="21">
        <v>8</v>
      </c>
      <c r="J176" s="21">
        <v>8</v>
      </c>
      <c r="K176" s="24"/>
      <c r="L176" s="21" t="s">
        <v>179</v>
      </c>
    </row>
    <row r="177" spans="1:12" ht="14.5" thickBot="1" x14ac:dyDescent="0.35">
      <c r="A177">
        <v>1231</v>
      </c>
      <c r="B177" s="21" t="s">
        <v>484</v>
      </c>
      <c r="C177" s="21" t="s">
        <v>482</v>
      </c>
      <c r="D177" s="21" t="s">
        <v>209</v>
      </c>
      <c r="E177" s="22">
        <v>45944</v>
      </c>
      <c r="F177" s="23">
        <v>0.63472222222222219</v>
      </c>
      <c r="G177" s="21" t="s">
        <v>282</v>
      </c>
      <c r="H177" s="21" t="s">
        <v>301</v>
      </c>
      <c r="I177" s="21">
        <v>8</v>
      </c>
      <c r="J177" s="21">
        <v>8</v>
      </c>
      <c r="K177" s="24"/>
      <c r="L177" s="21" t="s">
        <v>179</v>
      </c>
    </row>
    <row r="178" spans="1:12" ht="14.5" thickBot="1" x14ac:dyDescent="0.35">
      <c r="A178">
        <v>1231</v>
      </c>
      <c r="B178" s="21" t="s">
        <v>485</v>
      </c>
      <c r="C178" s="21" t="s">
        <v>482</v>
      </c>
      <c r="D178" s="21" t="s">
        <v>209</v>
      </c>
      <c r="E178" s="22">
        <v>45944</v>
      </c>
      <c r="F178" s="23">
        <v>0.89583333333333337</v>
      </c>
      <c r="G178" s="21" t="s">
        <v>282</v>
      </c>
      <c r="H178" s="21" t="s">
        <v>301</v>
      </c>
      <c r="I178" s="21">
        <v>8</v>
      </c>
      <c r="J178" s="21">
        <v>8</v>
      </c>
      <c r="K178" s="24"/>
      <c r="L178" s="21" t="s">
        <v>179</v>
      </c>
    </row>
    <row r="179" spans="1:12" ht="14.5" thickBot="1" x14ac:dyDescent="0.35">
      <c r="A179">
        <v>1231</v>
      </c>
      <c r="B179" s="21" t="s">
        <v>486</v>
      </c>
      <c r="C179" s="21" t="s">
        <v>487</v>
      </c>
      <c r="D179" s="21" t="s">
        <v>209</v>
      </c>
      <c r="E179" s="22">
        <v>45944</v>
      </c>
      <c r="F179" s="23">
        <v>0.34375</v>
      </c>
      <c r="G179" s="21" t="s">
        <v>282</v>
      </c>
      <c r="H179" s="21" t="s">
        <v>301</v>
      </c>
      <c r="I179" s="21">
        <v>16</v>
      </c>
      <c r="J179" s="21">
        <v>16</v>
      </c>
      <c r="K179" s="24"/>
      <c r="L179" s="21" t="s">
        <v>179</v>
      </c>
    </row>
    <row r="180" spans="1:12" ht="14.5" thickBot="1" x14ac:dyDescent="0.35">
      <c r="A180">
        <v>1231</v>
      </c>
      <c r="B180" s="21" t="s">
        <v>488</v>
      </c>
      <c r="C180" s="21" t="s">
        <v>487</v>
      </c>
      <c r="D180" s="21" t="s">
        <v>209</v>
      </c>
      <c r="E180" s="22">
        <v>45944</v>
      </c>
      <c r="F180" s="23">
        <v>0.49930555555555556</v>
      </c>
      <c r="G180" s="21" t="s">
        <v>282</v>
      </c>
      <c r="H180" s="21" t="s">
        <v>301</v>
      </c>
      <c r="I180" s="21">
        <v>16</v>
      </c>
      <c r="J180" s="21">
        <v>16</v>
      </c>
      <c r="K180" s="24"/>
      <c r="L180" s="21" t="s">
        <v>179</v>
      </c>
    </row>
    <row r="181" spans="1:12" ht="14.5" thickBot="1" x14ac:dyDescent="0.35">
      <c r="A181">
        <v>1231</v>
      </c>
      <c r="B181" s="21" t="s">
        <v>489</v>
      </c>
      <c r="C181" s="21" t="s">
        <v>487</v>
      </c>
      <c r="D181" s="21" t="s">
        <v>209</v>
      </c>
      <c r="E181" s="22">
        <v>45944</v>
      </c>
      <c r="F181" s="23">
        <v>0.63472222222222219</v>
      </c>
      <c r="G181" s="21" t="s">
        <v>282</v>
      </c>
      <c r="H181" s="21" t="s">
        <v>301</v>
      </c>
      <c r="I181" s="21">
        <v>24</v>
      </c>
      <c r="J181" s="21">
        <v>24</v>
      </c>
      <c r="K181" s="24"/>
      <c r="L181" s="21" t="s">
        <v>179</v>
      </c>
    </row>
    <row r="182" spans="1:12" ht="14.5" thickBot="1" x14ac:dyDescent="0.35">
      <c r="A182">
        <v>1231</v>
      </c>
      <c r="B182" s="21" t="s">
        <v>490</v>
      </c>
      <c r="C182" s="21" t="s">
        <v>487</v>
      </c>
      <c r="D182" s="21" t="s">
        <v>209</v>
      </c>
      <c r="E182" s="22">
        <v>45944</v>
      </c>
      <c r="F182" s="23">
        <v>0.77152777777777781</v>
      </c>
      <c r="G182" s="21" t="s">
        <v>282</v>
      </c>
      <c r="H182" s="21" t="s">
        <v>301</v>
      </c>
      <c r="I182" s="21">
        <v>8</v>
      </c>
      <c r="J182" s="21">
        <v>8</v>
      </c>
      <c r="K182" s="24"/>
      <c r="L182" s="21" t="s">
        <v>179</v>
      </c>
    </row>
    <row r="183" spans="1:12" ht="14.5" thickBot="1" x14ac:dyDescent="0.35">
      <c r="A183">
        <v>1231</v>
      </c>
      <c r="B183" s="21" t="s">
        <v>491</v>
      </c>
      <c r="C183" s="21" t="s">
        <v>487</v>
      </c>
      <c r="D183" s="21" t="s">
        <v>209</v>
      </c>
      <c r="E183" s="22">
        <v>45944</v>
      </c>
      <c r="F183" s="23">
        <v>0.89583333333333337</v>
      </c>
      <c r="G183" s="21" t="s">
        <v>282</v>
      </c>
      <c r="H183" s="21" t="s">
        <v>301</v>
      </c>
      <c r="I183" s="21">
        <v>16</v>
      </c>
      <c r="J183" s="21">
        <v>16</v>
      </c>
      <c r="K183" s="24"/>
      <c r="L183" s="21" t="s">
        <v>179</v>
      </c>
    </row>
    <row r="184" spans="1:12" ht="14.5" thickBot="1" x14ac:dyDescent="0.35">
      <c r="A184">
        <v>1231</v>
      </c>
      <c r="B184" s="21" t="s">
        <v>492</v>
      </c>
      <c r="C184" s="21" t="s">
        <v>487</v>
      </c>
      <c r="D184" s="21" t="s">
        <v>209</v>
      </c>
      <c r="E184" s="22">
        <v>45944</v>
      </c>
      <c r="F184" s="23">
        <v>0.89652777777777781</v>
      </c>
      <c r="G184" s="21" t="s">
        <v>282</v>
      </c>
      <c r="H184" s="21" t="s">
        <v>301</v>
      </c>
      <c r="I184" s="21">
        <v>16</v>
      </c>
      <c r="J184" s="21">
        <v>16</v>
      </c>
      <c r="K184" s="24"/>
      <c r="L184" s="21" t="s">
        <v>179</v>
      </c>
    </row>
    <row r="185" spans="1:12" ht="14.5" thickBot="1" x14ac:dyDescent="0.35">
      <c r="A185">
        <v>1231</v>
      </c>
      <c r="B185" s="21" t="s">
        <v>493</v>
      </c>
      <c r="C185" s="21" t="s">
        <v>494</v>
      </c>
      <c r="D185" s="21" t="s">
        <v>209</v>
      </c>
      <c r="E185" s="22">
        <v>45944</v>
      </c>
      <c r="F185" s="23">
        <v>0.77152777777777781</v>
      </c>
      <c r="G185" s="21" t="s">
        <v>282</v>
      </c>
      <c r="H185" s="21" t="s">
        <v>301</v>
      </c>
      <c r="I185" s="21">
        <v>8</v>
      </c>
      <c r="J185" s="21">
        <v>8</v>
      </c>
      <c r="K185" s="24"/>
      <c r="L185" s="21" t="s">
        <v>179</v>
      </c>
    </row>
    <row r="186" spans="1:12" ht="14.5" thickBot="1" x14ac:dyDescent="0.35">
      <c r="A186">
        <v>1231</v>
      </c>
      <c r="B186" s="21" t="s">
        <v>495</v>
      </c>
      <c r="C186" s="21" t="s">
        <v>496</v>
      </c>
      <c r="D186" s="21" t="s">
        <v>209</v>
      </c>
      <c r="E186" s="22">
        <v>45944</v>
      </c>
      <c r="F186" s="23">
        <v>0.34375</v>
      </c>
      <c r="G186" s="21" t="s">
        <v>282</v>
      </c>
      <c r="H186" s="21" t="s">
        <v>301</v>
      </c>
      <c r="I186" s="21">
        <v>144</v>
      </c>
      <c r="J186" s="21">
        <v>144</v>
      </c>
      <c r="K186" s="24"/>
      <c r="L186" s="21" t="s">
        <v>179</v>
      </c>
    </row>
    <row r="187" spans="1:12" ht="14.5" thickBot="1" x14ac:dyDescent="0.35">
      <c r="A187">
        <v>1231</v>
      </c>
      <c r="B187" s="21" t="s">
        <v>497</v>
      </c>
      <c r="C187" s="21" t="s">
        <v>496</v>
      </c>
      <c r="D187" s="21" t="s">
        <v>209</v>
      </c>
      <c r="E187" s="22">
        <v>45944</v>
      </c>
      <c r="F187" s="23">
        <v>0.35347222222222224</v>
      </c>
      <c r="G187" s="21" t="s">
        <v>358</v>
      </c>
      <c r="H187" s="21" t="s">
        <v>303</v>
      </c>
      <c r="I187" s="21">
        <v>32</v>
      </c>
      <c r="J187" s="21">
        <v>32</v>
      </c>
      <c r="K187" s="24"/>
      <c r="L187" s="21" t="s">
        <v>179</v>
      </c>
    </row>
    <row r="188" spans="1:12" ht="14.5" thickBot="1" x14ac:dyDescent="0.35">
      <c r="A188">
        <v>1231</v>
      </c>
      <c r="B188" s="21" t="s">
        <v>498</v>
      </c>
      <c r="C188" s="21" t="s">
        <v>496</v>
      </c>
      <c r="D188" s="21" t="s">
        <v>209</v>
      </c>
      <c r="E188" s="22">
        <v>45944</v>
      </c>
      <c r="F188" s="23">
        <v>0.35347222222222224</v>
      </c>
      <c r="G188" s="21" t="s">
        <v>374</v>
      </c>
      <c r="H188" s="21" t="s">
        <v>340</v>
      </c>
      <c r="I188" s="21">
        <v>8</v>
      </c>
      <c r="J188" s="21">
        <v>8</v>
      </c>
      <c r="K188" s="24"/>
      <c r="L188" s="21" t="s">
        <v>179</v>
      </c>
    </row>
    <row r="189" spans="1:12" ht="14.5" thickBot="1" x14ac:dyDescent="0.35">
      <c r="A189">
        <v>1231</v>
      </c>
      <c r="B189" s="21" t="s">
        <v>499</v>
      </c>
      <c r="C189" s="21" t="s">
        <v>496</v>
      </c>
      <c r="D189" s="21" t="s">
        <v>209</v>
      </c>
      <c r="E189" s="22">
        <v>45944</v>
      </c>
      <c r="F189" s="23">
        <v>0.49930555555555556</v>
      </c>
      <c r="G189" s="21" t="s">
        <v>282</v>
      </c>
      <c r="H189" s="21" t="s">
        <v>301</v>
      </c>
      <c r="I189" s="21">
        <v>136</v>
      </c>
      <c r="J189" s="21">
        <v>136</v>
      </c>
      <c r="K189" s="24"/>
      <c r="L189" s="21" t="s">
        <v>179</v>
      </c>
    </row>
    <row r="190" spans="1:12" ht="14.5" thickBot="1" x14ac:dyDescent="0.35">
      <c r="A190">
        <v>1231</v>
      </c>
      <c r="B190" s="21" t="s">
        <v>500</v>
      </c>
      <c r="C190" s="21" t="s">
        <v>496</v>
      </c>
      <c r="D190" s="21" t="s">
        <v>209</v>
      </c>
      <c r="E190" s="22">
        <v>45944</v>
      </c>
      <c r="F190" s="23">
        <v>0.52083333333333337</v>
      </c>
      <c r="G190" s="21" t="s">
        <v>358</v>
      </c>
      <c r="H190" s="21" t="s">
        <v>303</v>
      </c>
      <c r="I190" s="21">
        <v>16</v>
      </c>
      <c r="J190" s="21">
        <v>16</v>
      </c>
      <c r="K190" s="24"/>
      <c r="L190" s="21" t="s">
        <v>179</v>
      </c>
    </row>
    <row r="191" spans="1:12" ht="14.5" thickBot="1" x14ac:dyDescent="0.35">
      <c r="A191">
        <v>1231</v>
      </c>
      <c r="B191" s="21" t="s">
        <v>501</v>
      </c>
      <c r="C191" s="21" t="s">
        <v>496</v>
      </c>
      <c r="D191" s="21" t="s">
        <v>209</v>
      </c>
      <c r="E191" s="22">
        <v>45944</v>
      </c>
      <c r="F191" s="23">
        <v>0.63472222222222219</v>
      </c>
      <c r="G191" s="21" t="s">
        <v>282</v>
      </c>
      <c r="H191" s="21" t="s">
        <v>301</v>
      </c>
      <c r="I191" s="21">
        <v>144</v>
      </c>
      <c r="J191" s="21">
        <v>144</v>
      </c>
      <c r="K191" s="24"/>
      <c r="L191" s="21" t="s">
        <v>179</v>
      </c>
    </row>
    <row r="192" spans="1:12" ht="14.5" thickBot="1" x14ac:dyDescent="0.35">
      <c r="A192">
        <v>1231</v>
      </c>
      <c r="B192" s="21" t="s">
        <v>502</v>
      </c>
      <c r="C192" s="21" t="s">
        <v>496</v>
      </c>
      <c r="D192" s="21" t="s">
        <v>209</v>
      </c>
      <c r="E192" s="22">
        <v>45944</v>
      </c>
      <c r="F192" s="23">
        <v>0.64583333333333337</v>
      </c>
      <c r="G192" s="21" t="s">
        <v>358</v>
      </c>
      <c r="H192" s="21" t="s">
        <v>303</v>
      </c>
      <c r="I192" s="21">
        <v>24</v>
      </c>
      <c r="J192" s="21">
        <v>24</v>
      </c>
      <c r="K192" s="24"/>
      <c r="L192" s="21" t="s">
        <v>179</v>
      </c>
    </row>
    <row r="193" spans="1:12" ht="14.5" thickBot="1" x14ac:dyDescent="0.35">
      <c r="A193">
        <v>1231</v>
      </c>
      <c r="B193" s="21" t="s">
        <v>503</v>
      </c>
      <c r="C193" s="21" t="s">
        <v>496</v>
      </c>
      <c r="D193" s="21" t="s">
        <v>209</v>
      </c>
      <c r="E193" s="22">
        <v>45944</v>
      </c>
      <c r="F193" s="23">
        <v>0.77083333333333337</v>
      </c>
      <c r="G193" s="21" t="s">
        <v>358</v>
      </c>
      <c r="H193" s="21" t="s">
        <v>303</v>
      </c>
      <c r="I193" s="21">
        <v>32</v>
      </c>
      <c r="J193" s="21">
        <v>32</v>
      </c>
      <c r="K193" s="24"/>
      <c r="L193" s="21" t="s">
        <v>179</v>
      </c>
    </row>
    <row r="194" spans="1:12" ht="14.5" thickBot="1" x14ac:dyDescent="0.35">
      <c r="A194">
        <v>1231</v>
      </c>
      <c r="B194" s="21" t="s">
        <v>504</v>
      </c>
      <c r="C194" s="21" t="s">
        <v>496</v>
      </c>
      <c r="D194" s="21" t="s">
        <v>209</v>
      </c>
      <c r="E194" s="22">
        <v>45944</v>
      </c>
      <c r="F194" s="23">
        <v>0.77152777777777781</v>
      </c>
      <c r="G194" s="21" t="s">
        <v>282</v>
      </c>
      <c r="H194" s="21" t="s">
        <v>301</v>
      </c>
      <c r="I194" s="21">
        <v>104</v>
      </c>
      <c r="J194" s="21">
        <v>104</v>
      </c>
      <c r="K194" s="24"/>
      <c r="L194" s="21" t="s">
        <v>179</v>
      </c>
    </row>
    <row r="195" spans="1:12" ht="14.5" thickBot="1" x14ac:dyDescent="0.35">
      <c r="A195">
        <v>1231</v>
      </c>
      <c r="B195" s="21" t="s">
        <v>505</v>
      </c>
      <c r="C195" s="21" t="s">
        <v>496</v>
      </c>
      <c r="D195" s="21" t="s">
        <v>209</v>
      </c>
      <c r="E195" s="22">
        <v>45944</v>
      </c>
      <c r="F195" s="23">
        <v>0.89583333333333337</v>
      </c>
      <c r="G195" s="21" t="s">
        <v>282</v>
      </c>
      <c r="H195" s="21" t="s">
        <v>301</v>
      </c>
      <c r="I195" s="21">
        <v>120</v>
      </c>
      <c r="J195" s="21">
        <v>120</v>
      </c>
      <c r="K195" s="24"/>
      <c r="L195" s="21" t="s">
        <v>179</v>
      </c>
    </row>
    <row r="196" spans="1:12" ht="14.5" thickBot="1" x14ac:dyDescent="0.35">
      <c r="A196">
        <v>1231</v>
      </c>
      <c r="B196" s="21" t="s">
        <v>506</v>
      </c>
      <c r="C196" s="21" t="s">
        <v>496</v>
      </c>
      <c r="D196" s="21" t="s">
        <v>209</v>
      </c>
      <c r="E196" s="22">
        <v>45944</v>
      </c>
      <c r="F196" s="23">
        <v>0.89583333333333337</v>
      </c>
      <c r="G196" s="21" t="s">
        <v>358</v>
      </c>
      <c r="H196" s="21" t="s">
        <v>303</v>
      </c>
      <c r="I196" s="21">
        <v>24</v>
      </c>
      <c r="J196" s="21">
        <v>24</v>
      </c>
      <c r="K196" s="24"/>
      <c r="L196" s="21" t="s">
        <v>179</v>
      </c>
    </row>
    <row r="197" spans="1:12" ht="14.5" thickBot="1" x14ac:dyDescent="0.35">
      <c r="A197">
        <v>1231</v>
      </c>
      <c r="B197" s="21" t="s">
        <v>507</v>
      </c>
      <c r="C197" s="21" t="s">
        <v>496</v>
      </c>
      <c r="D197" s="21" t="s">
        <v>209</v>
      </c>
      <c r="E197" s="22">
        <v>45944</v>
      </c>
      <c r="F197" s="23">
        <v>0.89652777777777781</v>
      </c>
      <c r="G197" s="21" t="s">
        <v>282</v>
      </c>
      <c r="H197" s="21" t="s">
        <v>301</v>
      </c>
      <c r="I197" s="21">
        <v>96</v>
      </c>
      <c r="J197" s="21">
        <v>96</v>
      </c>
      <c r="K197" s="24"/>
      <c r="L197" s="21" t="s">
        <v>179</v>
      </c>
    </row>
    <row r="198" spans="1:12" ht="14.5" thickBot="1" x14ac:dyDescent="0.35">
      <c r="A198">
        <v>1231</v>
      </c>
      <c r="B198" s="21" t="s">
        <v>508</v>
      </c>
      <c r="C198" s="21" t="s">
        <v>509</v>
      </c>
      <c r="D198" s="21" t="s">
        <v>446</v>
      </c>
      <c r="E198" s="22">
        <v>45944</v>
      </c>
      <c r="F198" s="23">
        <v>0.34375</v>
      </c>
      <c r="G198" s="21" t="s">
        <v>374</v>
      </c>
      <c r="H198" s="21" t="s">
        <v>251</v>
      </c>
      <c r="I198" s="21">
        <v>80</v>
      </c>
      <c r="J198" s="21">
        <v>80</v>
      </c>
      <c r="K198" s="24"/>
      <c r="L198" s="21" t="s">
        <v>179</v>
      </c>
    </row>
    <row r="199" spans="1:12" ht="14.5" thickBot="1" x14ac:dyDescent="0.35">
      <c r="A199">
        <v>1231</v>
      </c>
      <c r="B199" s="21" t="s">
        <v>510</v>
      </c>
      <c r="C199" s="21" t="s">
        <v>509</v>
      </c>
      <c r="D199" s="21" t="s">
        <v>446</v>
      </c>
      <c r="E199" s="22">
        <v>45944</v>
      </c>
      <c r="F199" s="23">
        <v>0.49930555555555556</v>
      </c>
      <c r="G199" s="21" t="s">
        <v>374</v>
      </c>
      <c r="H199" s="21" t="s">
        <v>251</v>
      </c>
      <c r="I199" s="21">
        <v>56</v>
      </c>
      <c r="J199" s="21">
        <v>56</v>
      </c>
      <c r="K199" s="24"/>
      <c r="L199" s="21" t="s">
        <v>179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647D-BD27-459E-996C-D8555F43B01D}">
  <sheetPr>
    <tabColor rgb="FF00B050"/>
  </sheetPr>
  <dimension ref="A1:L52"/>
  <sheetViews>
    <sheetView workbookViewId="0"/>
  </sheetViews>
  <sheetFormatPr defaultRowHeight="14" x14ac:dyDescent="0.3"/>
  <cols>
    <col min="2" max="2" width="19.6640625" bestFit="1" customWidth="1"/>
    <col min="3" max="3" width="19.58203125" bestFit="1" customWidth="1"/>
    <col min="4" max="4" width="35.9140625" bestFit="1" customWidth="1"/>
    <col min="5" max="5" width="10.5" bestFit="1" customWidth="1"/>
    <col min="6" max="6" width="8.33203125" bestFit="1" customWidth="1"/>
    <col min="7" max="7" width="7.5" bestFit="1" customWidth="1"/>
    <col min="8" max="8" width="7.4140625" bestFit="1" customWidth="1"/>
    <col min="9" max="11" width="8.5" bestFit="1" customWidth="1"/>
    <col min="12" max="12" width="8" bestFit="1" customWidth="1"/>
  </cols>
  <sheetData>
    <row r="1" spans="1:12" ht="54.5" thickBot="1" x14ac:dyDescent="0.35">
      <c r="A1" s="1" t="s">
        <v>0</v>
      </c>
      <c r="B1" s="20" t="s">
        <v>162</v>
      </c>
      <c r="C1" s="20" t="s">
        <v>163</v>
      </c>
      <c r="D1" s="20" t="s">
        <v>165</v>
      </c>
      <c r="E1" s="20" t="s">
        <v>166</v>
      </c>
      <c r="F1" s="20" t="s">
        <v>167</v>
      </c>
      <c r="G1" s="20" t="s">
        <v>168</v>
      </c>
      <c r="H1" s="20" t="s">
        <v>169</v>
      </c>
      <c r="I1" s="20" t="s">
        <v>170</v>
      </c>
      <c r="J1" s="20" t="s">
        <v>171</v>
      </c>
      <c r="K1" s="20" t="s">
        <v>172</v>
      </c>
      <c r="L1" s="20" t="s">
        <v>173</v>
      </c>
    </row>
    <row r="2" spans="1:12" ht="14.5" thickBot="1" x14ac:dyDescent="0.35">
      <c r="A2">
        <v>1642</v>
      </c>
      <c r="B2" s="21" t="s">
        <v>511</v>
      </c>
      <c r="C2" s="21" t="s">
        <v>250</v>
      </c>
      <c r="D2" s="21" t="s">
        <v>245</v>
      </c>
      <c r="E2" s="22">
        <v>45944</v>
      </c>
      <c r="F2" s="23">
        <v>0.55138888888888893</v>
      </c>
      <c r="G2" s="21" t="s">
        <v>512</v>
      </c>
      <c r="H2" s="21" t="s">
        <v>513</v>
      </c>
      <c r="I2" s="21">
        <v>144</v>
      </c>
      <c r="J2" s="21">
        <v>144</v>
      </c>
      <c r="K2" s="24"/>
      <c r="L2" s="21" t="s">
        <v>179</v>
      </c>
    </row>
    <row r="3" spans="1:12" ht="14.5" thickBot="1" x14ac:dyDescent="0.35">
      <c r="A3">
        <v>1642</v>
      </c>
      <c r="B3" s="21" t="s">
        <v>514</v>
      </c>
      <c r="C3" s="21" t="s">
        <v>250</v>
      </c>
      <c r="D3" s="21" t="s">
        <v>245</v>
      </c>
      <c r="E3" s="22">
        <v>45944</v>
      </c>
      <c r="F3" s="23">
        <v>0.55138888888888893</v>
      </c>
      <c r="G3" s="21" t="s">
        <v>512</v>
      </c>
      <c r="H3" s="21" t="s">
        <v>515</v>
      </c>
      <c r="I3" s="21">
        <v>144</v>
      </c>
      <c r="J3" s="21">
        <v>144</v>
      </c>
      <c r="K3" s="24"/>
      <c r="L3" s="21" t="s">
        <v>179</v>
      </c>
    </row>
    <row r="4" spans="1:12" ht="14.5" thickBot="1" x14ac:dyDescent="0.35">
      <c r="A4">
        <v>1642</v>
      </c>
      <c r="B4" s="21" t="s">
        <v>516</v>
      </c>
      <c r="C4" s="21" t="s">
        <v>254</v>
      </c>
      <c r="D4" s="21" t="s">
        <v>245</v>
      </c>
      <c r="E4" s="22">
        <v>45944</v>
      </c>
      <c r="F4" s="23">
        <v>0.55138888888888893</v>
      </c>
      <c r="G4" s="21" t="s">
        <v>512</v>
      </c>
      <c r="H4" s="21" t="s">
        <v>515</v>
      </c>
      <c r="I4" s="21">
        <v>216</v>
      </c>
      <c r="J4" s="21">
        <v>216</v>
      </c>
      <c r="K4" s="24"/>
      <c r="L4" s="21" t="s">
        <v>179</v>
      </c>
    </row>
    <row r="5" spans="1:12" ht="14.5" thickBot="1" x14ac:dyDescent="0.35">
      <c r="A5">
        <v>1642</v>
      </c>
      <c r="B5" s="21" t="s">
        <v>517</v>
      </c>
      <c r="C5" s="21" t="s">
        <v>267</v>
      </c>
      <c r="D5" s="21" t="s">
        <v>245</v>
      </c>
      <c r="E5" s="22">
        <v>45944</v>
      </c>
      <c r="F5" s="23">
        <v>0.55138888888888893</v>
      </c>
      <c r="G5" s="21" t="s">
        <v>512</v>
      </c>
      <c r="H5" s="21" t="s">
        <v>513</v>
      </c>
      <c r="I5" s="21">
        <v>72</v>
      </c>
      <c r="J5" s="21">
        <v>72</v>
      </c>
      <c r="K5" s="24"/>
      <c r="L5" s="21" t="s">
        <v>179</v>
      </c>
    </row>
    <row r="6" spans="1:12" ht="14.5" thickBot="1" x14ac:dyDescent="0.35">
      <c r="A6">
        <v>1642</v>
      </c>
      <c r="B6" s="21" t="s">
        <v>518</v>
      </c>
      <c r="C6" s="21" t="s">
        <v>267</v>
      </c>
      <c r="D6" s="21" t="s">
        <v>245</v>
      </c>
      <c r="E6" s="22">
        <v>45944</v>
      </c>
      <c r="F6" s="23">
        <v>0.55138888888888893</v>
      </c>
      <c r="G6" s="21" t="s">
        <v>512</v>
      </c>
      <c r="H6" s="21" t="s">
        <v>515</v>
      </c>
      <c r="I6" s="21">
        <v>72</v>
      </c>
      <c r="J6" s="21">
        <v>72</v>
      </c>
      <c r="K6" s="24"/>
      <c r="L6" s="21" t="s">
        <v>179</v>
      </c>
    </row>
    <row r="7" spans="1:12" ht="14.5" thickBot="1" x14ac:dyDescent="0.35">
      <c r="A7">
        <v>1642</v>
      </c>
      <c r="B7" s="21" t="s">
        <v>519</v>
      </c>
      <c r="C7" s="21" t="s">
        <v>274</v>
      </c>
      <c r="D7" s="21" t="s">
        <v>275</v>
      </c>
      <c r="E7" s="22">
        <v>45944</v>
      </c>
      <c r="F7" s="23">
        <v>0.55138888888888893</v>
      </c>
      <c r="G7" s="21" t="s">
        <v>520</v>
      </c>
      <c r="H7" s="21" t="s">
        <v>513</v>
      </c>
      <c r="I7" s="21">
        <v>126</v>
      </c>
      <c r="J7" s="21">
        <v>126</v>
      </c>
      <c r="K7" s="24"/>
      <c r="L7" s="21" t="s">
        <v>179</v>
      </c>
    </row>
    <row r="8" spans="1:12" ht="14.5" thickBot="1" x14ac:dyDescent="0.35">
      <c r="A8">
        <v>1642</v>
      </c>
      <c r="B8" s="21" t="s">
        <v>521</v>
      </c>
      <c r="C8" s="21" t="s">
        <v>274</v>
      </c>
      <c r="D8" s="21" t="s">
        <v>275</v>
      </c>
      <c r="E8" s="22">
        <v>45944</v>
      </c>
      <c r="F8" s="23">
        <v>0.55138888888888893</v>
      </c>
      <c r="G8" s="21" t="s">
        <v>520</v>
      </c>
      <c r="H8" s="21" t="s">
        <v>515</v>
      </c>
      <c r="I8" s="21">
        <v>168</v>
      </c>
      <c r="J8" s="21">
        <v>168</v>
      </c>
      <c r="K8" s="24"/>
      <c r="L8" s="21" t="s">
        <v>179</v>
      </c>
    </row>
    <row r="9" spans="1:12" ht="14.5" thickBot="1" x14ac:dyDescent="0.35">
      <c r="A9">
        <v>1642</v>
      </c>
      <c r="B9" s="21" t="s">
        <v>522</v>
      </c>
      <c r="C9" s="21" t="s">
        <v>274</v>
      </c>
      <c r="D9" s="21" t="s">
        <v>275</v>
      </c>
      <c r="E9" s="22">
        <v>45944</v>
      </c>
      <c r="F9" s="23">
        <v>0.9375</v>
      </c>
      <c r="G9" s="21" t="s">
        <v>520</v>
      </c>
      <c r="H9" s="21" t="s">
        <v>513</v>
      </c>
      <c r="I9" s="21">
        <v>36</v>
      </c>
      <c r="J9" s="21">
        <v>36</v>
      </c>
      <c r="K9" s="24"/>
      <c r="L9" s="21" t="s">
        <v>179</v>
      </c>
    </row>
    <row r="10" spans="1:12" ht="14.5" thickBot="1" x14ac:dyDescent="0.35">
      <c r="A10">
        <v>1642</v>
      </c>
      <c r="B10" s="21" t="s">
        <v>523</v>
      </c>
      <c r="C10" s="21" t="s">
        <v>274</v>
      </c>
      <c r="D10" s="21" t="s">
        <v>275</v>
      </c>
      <c r="E10" s="22">
        <v>45944</v>
      </c>
      <c r="F10" s="23">
        <v>0.9375</v>
      </c>
      <c r="G10" s="21" t="s">
        <v>520</v>
      </c>
      <c r="H10" s="21" t="s">
        <v>515</v>
      </c>
      <c r="I10" s="21">
        <v>30</v>
      </c>
      <c r="J10" s="21">
        <v>30</v>
      </c>
      <c r="K10" s="24"/>
      <c r="L10" s="21" t="s">
        <v>179</v>
      </c>
    </row>
    <row r="11" spans="1:12" ht="14.5" thickBot="1" x14ac:dyDescent="0.35">
      <c r="A11">
        <v>1642</v>
      </c>
      <c r="B11" s="21" t="s">
        <v>524</v>
      </c>
      <c r="C11" s="21" t="s">
        <v>281</v>
      </c>
      <c r="D11" s="21" t="s">
        <v>275</v>
      </c>
      <c r="E11" s="22">
        <v>45944</v>
      </c>
      <c r="F11" s="23">
        <v>0.55138888888888893</v>
      </c>
      <c r="G11" s="21" t="s">
        <v>520</v>
      </c>
      <c r="H11" s="21" t="s">
        <v>513</v>
      </c>
      <c r="I11" s="21">
        <v>72</v>
      </c>
      <c r="J11" s="21">
        <v>72</v>
      </c>
      <c r="K11" s="24"/>
      <c r="L11" s="21" t="s">
        <v>179</v>
      </c>
    </row>
    <row r="12" spans="1:12" ht="14.5" thickBot="1" x14ac:dyDescent="0.35">
      <c r="A12">
        <v>1642</v>
      </c>
      <c r="B12" s="21" t="s">
        <v>525</v>
      </c>
      <c r="C12" s="21" t="s">
        <v>281</v>
      </c>
      <c r="D12" s="21" t="s">
        <v>275</v>
      </c>
      <c r="E12" s="22">
        <v>45944</v>
      </c>
      <c r="F12" s="23">
        <v>0.55138888888888893</v>
      </c>
      <c r="G12" s="21" t="s">
        <v>520</v>
      </c>
      <c r="H12" s="21" t="s">
        <v>515</v>
      </c>
      <c r="I12" s="21">
        <v>297</v>
      </c>
      <c r="J12" s="21">
        <v>297</v>
      </c>
      <c r="K12" s="24"/>
      <c r="L12" s="21" t="s">
        <v>179</v>
      </c>
    </row>
    <row r="13" spans="1:12" ht="14.5" thickBot="1" x14ac:dyDescent="0.35">
      <c r="A13">
        <v>1642</v>
      </c>
      <c r="B13" s="21" t="s">
        <v>526</v>
      </c>
      <c r="C13" s="21" t="s">
        <v>281</v>
      </c>
      <c r="D13" s="21" t="s">
        <v>275</v>
      </c>
      <c r="E13" s="22">
        <v>45944</v>
      </c>
      <c r="F13" s="23">
        <v>0.9375</v>
      </c>
      <c r="G13" s="21" t="s">
        <v>520</v>
      </c>
      <c r="H13" s="21" t="s">
        <v>513</v>
      </c>
      <c r="I13" s="21">
        <v>9</v>
      </c>
      <c r="J13" s="21">
        <v>9</v>
      </c>
      <c r="K13" s="24"/>
      <c r="L13" s="21" t="s">
        <v>179</v>
      </c>
    </row>
    <row r="14" spans="1:12" ht="14.5" thickBot="1" x14ac:dyDescent="0.35">
      <c r="A14">
        <v>1642</v>
      </c>
      <c r="B14" s="21" t="s">
        <v>527</v>
      </c>
      <c r="C14" s="21" t="s">
        <v>281</v>
      </c>
      <c r="D14" s="21" t="s">
        <v>275</v>
      </c>
      <c r="E14" s="22">
        <v>45944</v>
      </c>
      <c r="F14" s="23">
        <v>0.9375</v>
      </c>
      <c r="G14" s="21" t="s">
        <v>520</v>
      </c>
      <c r="H14" s="21" t="s">
        <v>515</v>
      </c>
      <c r="I14" s="21">
        <v>27</v>
      </c>
      <c r="J14" s="21">
        <v>27</v>
      </c>
      <c r="K14" s="24"/>
      <c r="L14" s="21" t="s">
        <v>179</v>
      </c>
    </row>
    <row r="15" spans="1:12" ht="14.5" thickBot="1" x14ac:dyDescent="0.35">
      <c r="A15">
        <v>1642</v>
      </c>
      <c r="B15" s="21" t="s">
        <v>528</v>
      </c>
      <c r="C15" s="21" t="s">
        <v>529</v>
      </c>
      <c r="D15" s="21" t="s">
        <v>185</v>
      </c>
      <c r="E15" s="22">
        <v>45944</v>
      </c>
      <c r="F15" s="23">
        <v>0.55138888888888893</v>
      </c>
      <c r="G15" s="21" t="s">
        <v>530</v>
      </c>
      <c r="H15" s="21" t="s">
        <v>513</v>
      </c>
      <c r="I15" s="21">
        <v>200</v>
      </c>
      <c r="J15" s="21">
        <v>200</v>
      </c>
      <c r="K15" s="24"/>
      <c r="L15" s="21" t="s">
        <v>179</v>
      </c>
    </row>
    <row r="16" spans="1:12" ht="14.5" thickBot="1" x14ac:dyDescent="0.35">
      <c r="A16">
        <v>1642</v>
      </c>
      <c r="B16" s="21" t="s">
        <v>531</v>
      </c>
      <c r="C16" s="21" t="s">
        <v>529</v>
      </c>
      <c r="D16" s="21" t="s">
        <v>185</v>
      </c>
      <c r="E16" s="22">
        <v>45944</v>
      </c>
      <c r="F16" s="23">
        <v>0.9375</v>
      </c>
      <c r="G16" s="21" t="s">
        <v>530</v>
      </c>
      <c r="H16" s="21" t="s">
        <v>513</v>
      </c>
      <c r="I16" s="21">
        <v>40</v>
      </c>
      <c r="J16" s="21">
        <v>40</v>
      </c>
      <c r="K16" s="24"/>
      <c r="L16" s="21" t="s">
        <v>179</v>
      </c>
    </row>
    <row r="17" spans="1:12" ht="14.5" thickBot="1" x14ac:dyDescent="0.35">
      <c r="A17">
        <v>1642</v>
      </c>
      <c r="B17" s="21" t="s">
        <v>532</v>
      </c>
      <c r="C17" s="21" t="s">
        <v>533</v>
      </c>
      <c r="D17" s="21" t="s">
        <v>185</v>
      </c>
      <c r="E17" s="22">
        <v>45944</v>
      </c>
      <c r="F17" s="23">
        <v>0.55138888888888893</v>
      </c>
      <c r="G17" s="21" t="s">
        <v>530</v>
      </c>
      <c r="H17" s="21" t="s">
        <v>513</v>
      </c>
      <c r="I17" s="21">
        <v>4</v>
      </c>
      <c r="J17" s="21">
        <v>4</v>
      </c>
      <c r="K17" s="24"/>
      <c r="L17" s="21" t="s">
        <v>179</v>
      </c>
    </row>
    <row r="18" spans="1:12" ht="14.5" thickBot="1" x14ac:dyDescent="0.35">
      <c r="A18">
        <v>1642</v>
      </c>
      <c r="B18" s="21" t="s">
        <v>534</v>
      </c>
      <c r="C18" s="21" t="s">
        <v>535</v>
      </c>
      <c r="D18" s="21" t="s">
        <v>185</v>
      </c>
      <c r="E18" s="22">
        <v>45944</v>
      </c>
      <c r="F18" s="23">
        <v>0.55138888888888893</v>
      </c>
      <c r="G18" s="21" t="s">
        <v>536</v>
      </c>
      <c r="H18" s="21" t="s">
        <v>537</v>
      </c>
      <c r="I18" s="21">
        <v>44</v>
      </c>
      <c r="J18" s="21">
        <v>44</v>
      </c>
      <c r="K18" s="24"/>
      <c r="L18" s="21" t="s">
        <v>179</v>
      </c>
    </row>
    <row r="19" spans="1:12" ht="14.5" thickBot="1" x14ac:dyDescent="0.35">
      <c r="A19">
        <v>1642</v>
      </c>
      <c r="B19" s="21" t="s">
        <v>538</v>
      </c>
      <c r="C19" s="21" t="s">
        <v>535</v>
      </c>
      <c r="D19" s="21" t="s">
        <v>185</v>
      </c>
      <c r="E19" s="22">
        <v>45944</v>
      </c>
      <c r="F19" s="23">
        <v>0.9375</v>
      </c>
      <c r="G19" s="21" t="s">
        <v>536</v>
      </c>
      <c r="H19" s="21" t="s">
        <v>537</v>
      </c>
      <c r="I19" s="21">
        <v>36</v>
      </c>
      <c r="J19" s="21">
        <v>36</v>
      </c>
      <c r="K19" s="24"/>
      <c r="L19" s="21" t="s">
        <v>179</v>
      </c>
    </row>
    <row r="20" spans="1:12" ht="14.5" thickBot="1" x14ac:dyDescent="0.35">
      <c r="A20">
        <v>1642</v>
      </c>
      <c r="B20" s="21" t="s">
        <v>539</v>
      </c>
      <c r="C20" s="21" t="s">
        <v>540</v>
      </c>
      <c r="D20" s="21" t="s">
        <v>337</v>
      </c>
      <c r="E20" s="22">
        <v>45944</v>
      </c>
      <c r="F20" s="23">
        <v>0.55138888888888893</v>
      </c>
      <c r="G20" s="21" t="s">
        <v>536</v>
      </c>
      <c r="H20" s="21" t="s">
        <v>541</v>
      </c>
      <c r="I20" s="21">
        <v>468</v>
      </c>
      <c r="J20" s="21">
        <v>468</v>
      </c>
      <c r="K20" s="24"/>
      <c r="L20" s="21" t="s">
        <v>179</v>
      </c>
    </row>
    <row r="21" spans="1:12" ht="14.5" thickBot="1" x14ac:dyDescent="0.35">
      <c r="A21">
        <v>1642</v>
      </c>
      <c r="B21" s="21" t="s">
        <v>542</v>
      </c>
      <c r="C21" s="21" t="s">
        <v>540</v>
      </c>
      <c r="D21" s="21" t="s">
        <v>337</v>
      </c>
      <c r="E21" s="22">
        <v>45944</v>
      </c>
      <c r="F21" s="23">
        <v>0.9375</v>
      </c>
      <c r="G21" s="21" t="s">
        <v>536</v>
      </c>
      <c r="H21" s="21" t="s">
        <v>541</v>
      </c>
      <c r="I21" s="21">
        <v>54</v>
      </c>
      <c r="J21" s="21">
        <v>54</v>
      </c>
      <c r="K21" s="24"/>
      <c r="L21" s="21" t="s">
        <v>179</v>
      </c>
    </row>
    <row r="22" spans="1:12" ht="14.5" thickBot="1" x14ac:dyDescent="0.35">
      <c r="A22">
        <v>1642</v>
      </c>
      <c r="B22" s="21" t="s">
        <v>543</v>
      </c>
      <c r="C22" s="21" t="s">
        <v>544</v>
      </c>
      <c r="D22" s="21" t="s">
        <v>337</v>
      </c>
      <c r="E22" s="22">
        <v>45944</v>
      </c>
      <c r="F22" s="23">
        <v>0.55138888888888893</v>
      </c>
      <c r="G22" s="21" t="s">
        <v>545</v>
      </c>
      <c r="H22" s="21" t="s">
        <v>546</v>
      </c>
      <c r="I22" s="21">
        <v>276</v>
      </c>
      <c r="J22" s="21">
        <v>276</v>
      </c>
      <c r="K22" s="24"/>
      <c r="L22" s="21" t="s">
        <v>179</v>
      </c>
    </row>
    <row r="23" spans="1:12" ht="14.5" thickBot="1" x14ac:dyDescent="0.35">
      <c r="A23">
        <v>1642</v>
      </c>
      <c r="B23" s="21" t="s">
        <v>547</v>
      </c>
      <c r="C23" s="21" t="s">
        <v>544</v>
      </c>
      <c r="D23" s="21" t="s">
        <v>337</v>
      </c>
      <c r="E23" s="22">
        <v>45944</v>
      </c>
      <c r="F23" s="23">
        <v>0.9375</v>
      </c>
      <c r="G23" s="21" t="s">
        <v>545</v>
      </c>
      <c r="H23" s="21" t="s">
        <v>546</v>
      </c>
      <c r="I23" s="21">
        <v>48</v>
      </c>
      <c r="J23" s="21">
        <v>48</v>
      </c>
      <c r="K23" s="24"/>
      <c r="L23" s="21" t="s">
        <v>179</v>
      </c>
    </row>
    <row r="24" spans="1:12" ht="14.5" thickBot="1" x14ac:dyDescent="0.35">
      <c r="A24">
        <v>1642</v>
      </c>
      <c r="B24" s="21" t="s">
        <v>548</v>
      </c>
      <c r="C24" s="21" t="s">
        <v>549</v>
      </c>
      <c r="D24" s="21" t="s">
        <v>337</v>
      </c>
      <c r="E24" s="22">
        <v>45944</v>
      </c>
      <c r="F24" s="23">
        <v>0.55138888888888893</v>
      </c>
      <c r="G24" s="21" t="s">
        <v>545</v>
      </c>
      <c r="H24" s="21" t="s">
        <v>546</v>
      </c>
      <c r="I24" s="21">
        <v>20</v>
      </c>
      <c r="J24" s="21">
        <v>20</v>
      </c>
      <c r="K24" s="24"/>
      <c r="L24" s="21" t="s">
        <v>179</v>
      </c>
    </row>
    <row r="25" spans="1:12" ht="14.5" thickBot="1" x14ac:dyDescent="0.35">
      <c r="A25">
        <v>1642</v>
      </c>
      <c r="B25" s="21" t="s">
        <v>550</v>
      </c>
      <c r="C25" s="21" t="s">
        <v>551</v>
      </c>
      <c r="D25" s="21" t="s">
        <v>373</v>
      </c>
      <c r="E25" s="22">
        <v>45944</v>
      </c>
      <c r="F25" s="23">
        <v>0.55138888888888893</v>
      </c>
      <c r="G25" s="21" t="s">
        <v>552</v>
      </c>
      <c r="H25" s="21" t="s">
        <v>513</v>
      </c>
      <c r="I25" s="21">
        <v>200</v>
      </c>
      <c r="J25" s="21">
        <v>200</v>
      </c>
      <c r="K25" s="24"/>
      <c r="L25" s="21" t="s">
        <v>179</v>
      </c>
    </row>
    <row r="26" spans="1:12" ht="14.5" thickBot="1" x14ac:dyDescent="0.35">
      <c r="A26">
        <v>1642</v>
      </c>
      <c r="B26" s="21" t="s">
        <v>553</v>
      </c>
      <c r="C26" s="21" t="s">
        <v>551</v>
      </c>
      <c r="D26" s="21" t="s">
        <v>373</v>
      </c>
      <c r="E26" s="22">
        <v>45944</v>
      </c>
      <c r="F26" s="23">
        <v>0.9375</v>
      </c>
      <c r="G26" s="21" t="s">
        <v>552</v>
      </c>
      <c r="H26" s="21" t="s">
        <v>513</v>
      </c>
      <c r="I26" s="21">
        <v>40</v>
      </c>
      <c r="J26" s="21">
        <v>40</v>
      </c>
      <c r="K26" s="24"/>
      <c r="L26" s="21" t="s">
        <v>179</v>
      </c>
    </row>
    <row r="27" spans="1:12" ht="14.5" thickBot="1" x14ac:dyDescent="0.35">
      <c r="A27">
        <v>1642</v>
      </c>
      <c r="B27" s="21" t="s">
        <v>554</v>
      </c>
      <c r="C27" s="21" t="s">
        <v>555</v>
      </c>
      <c r="D27" s="21" t="s">
        <v>373</v>
      </c>
      <c r="E27" s="22">
        <v>45944</v>
      </c>
      <c r="F27" s="23">
        <v>0.55138888888888893</v>
      </c>
      <c r="G27" s="21" t="s">
        <v>552</v>
      </c>
      <c r="H27" s="21" t="s">
        <v>513</v>
      </c>
      <c r="I27" s="21">
        <v>8</v>
      </c>
      <c r="J27" s="21">
        <v>8</v>
      </c>
      <c r="K27" s="24"/>
      <c r="L27" s="21" t="s">
        <v>179</v>
      </c>
    </row>
    <row r="28" spans="1:12" ht="14.5" thickBot="1" x14ac:dyDescent="0.35">
      <c r="A28">
        <v>1642</v>
      </c>
      <c r="B28" s="21" t="s">
        <v>556</v>
      </c>
      <c r="C28" s="21" t="s">
        <v>557</v>
      </c>
      <c r="D28" s="21" t="s">
        <v>373</v>
      </c>
      <c r="E28" s="22">
        <v>45944</v>
      </c>
      <c r="F28" s="23">
        <v>0.55138888888888893</v>
      </c>
      <c r="G28" s="21" t="s">
        <v>558</v>
      </c>
      <c r="H28" s="21" t="s">
        <v>537</v>
      </c>
      <c r="I28" s="21">
        <v>65</v>
      </c>
      <c r="J28" s="21">
        <v>65</v>
      </c>
      <c r="K28" s="24"/>
      <c r="L28" s="21" t="s">
        <v>179</v>
      </c>
    </row>
    <row r="29" spans="1:12" ht="14.5" thickBot="1" x14ac:dyDescent="0.35">
      <c r="A29">
        <v>1642</v>
      </c>
      <c r="B29" s="21" t="s">
        <v>559</v>
      </c>
      <c r="C29" s="21" t="s">
        <v>557</v>
      </c>
      <c r="D29" s="21" t="s">
        <v>373</v>
      </c>
      <c r="E29" s="22">
        <v>45944</v>
      </c>
      <c r="F29" s="23">
        <v>0.9375</v>
      </c>
      <c r="G29" s="21" t="s">
        <v>558</v>
      </c>
      <c r="H29" s="21" t="s">
        <v>537</v>
      </c>
      <c r="I29" s="21">
        <v>15</v>
      </c>
      <c r="J29" s="21">
        <v>15</v>
      </c>
      <c r="K29" s="24"/>
      <c r="L29" s="21" t="s">
        <v>179</v>
      </c>
    </row>
    <row r="30" spans="1:12" ht="14.5" thickBot="1" x14ac:dyDescent="0.35">
      <c r="A30">
        <v>1642</v>
      </c>
      <c r="B30" s="21" t="s">
        <v>560</v>
      </c>
      <c r="C30" s="21" t="s">
        <v>377</v>
      </c>
      <c r="D30" s="21" t="s">
        <v>373</v>
      </c>
      <c r="E30" s="22">
        <v>45944</v>
      </c>
      <c r="F30" s="23">
        <v>0.55138888888888893</v>
      </c>
      <c r="G30" s="21" t="s">
        <v>552</v>
      </c>
      <c r="H30" s="21" t="s">
        <v>515</v>
      </c>
      <c r="I30" s="21">
        <v>488</v>
      </c>
      <c r="J30" s="21">
        <v>488</v>
      </c>
      <c r="K30" s="24"/>
      <c r="L30" s="21" t="s">
        <v>179</v>
      </c>
    </row>
    <row r="31" spans="1:12" ht="14.5" thickBot="1" x14ac:dyDescent="0.35">
      <c r="A31">
        <v>1642</v>
      </c>
      <c r="B31" s="21" t="s">
        <v>561</v>
      </c>
      <c r="C31" s="21" t="s">
        <v>377</v>
      </c>
      <c r="D31" s="21" t="s">
        <v>373</v>
      </c>
      <c r="E31" s="22">
        <v>45944</v>
      </c>
      <c r="F31" s="23">
        <v>0.9375</v>
      </c>
      <c r="G31" s="21" t="s">
        <v>552</v>
      </c>
      <c r="H31" s="21" t="s">
        <v>515</v>
      </c>
      <c r="I31" s="21">
        <v>32</v>
      </c>
      <c r="J31" s="21">
        <v>32</v>
      </c>
      <c r="K31" s="24"/>
      <c r="L31" s="21" t="s">
        <v>179</v>
      </c>
    </row>
    <row r="32" spans="1:12" ht="14.5" thickBot="1" x14ac:dyDescent="0.35">
      <c r="A32">
        <v>1642</v>
      </c>
      <c r="B32" s="21" t="s">
        <v>562</v>
      </c>
      <c r="C32" s="21" t="s">
        <v>563</v>
      </c>
      <c r="D32" s="21" t="s">
        <v>373</v>
      </c>
      <c r="E32" s="22">
        <v>45944</v>
      </c>
      <c r="F32" s="23">
        <v>0.55138888888888893</v>
      </c>
      <c r="G32" s="21" t="s">
        <v>558</v>
      </c>
      <c r="H32" s="21" t="s">
        <v>541</v>
      </c>
      <c r="I32" s="21">
        <v>56</v>
      </c>
      <c r="J32" s="21">
        <v>56</v>
      </c>
      <c r="K32" s="24"/>
      <c r="L32" s="21" t="s">
        <v>179</v>
      </c>
    </row>
    <row r="33" spans="1:12" ht="14.5" thickBot="1" x14ac:dyDescent="0.35">
      <c r="A33">
        <v>1642</v>
      </c>
      <c r="B33" s="21" t="s">
        <v>564</v>
      </c>
      <c r="C33" s="21" t="s">
        <v>565</v>
      </c>
      <c r="D33" s="21" t="s">
        <v>373</v>
      </c>
      <c r="E33" s="22">
        <v>45944</v>
      </c>
      <c r="F33" s="23">
        <v>0.55138888888888893</v>
      </c>
      <c r="G33" s="21" t="s">
        <v>558</v>
      </c>
      <c r="H33" s="21" t="s">
        <v>541</v>
      </c>
      <c r="I33" s="21">
        <v>30</v>
      </c>
      <c r="J33" s="21">
        <v>30</v>
      </c>
      <c r="K33" s="24"/>
      <c r="L33" s="21" t="s">
        <v>179</v>
      </c>
    </row>
    <row r="34" spans="1:12" ht="14.5" thickBot="1" x14ac:dyDescent="0.35">
      <c r="A34">
        <v>1642</v>
      </c>
      <c r="B34" s="21" t="s">
        <v>566</v>
      </c>
      <c r="C34" s="21" t="s">
        <v>567</v>
      </c>
      <c r="D34" s="21" t="s">
        <v>373</v>
      </c>
      <c r="E34" s="22">
        <v>45944</v>
      </c>
      <c r="F34" s="23">
        <v>0.55138888888888893</v>
      </c>
      <c r="G34" s="21" t="s">
        <v>558</v>
      </c>
      <c r="H34" s="21" t="s">
        <v>541</v>
      </c>
      <c r="I34" s="21">
        <v>408</v>
      </c>
      <c r="J34" s="21">
        <v>408</v>
      </c>
      <c r="K34" s="24"/>
      <c r="L34" s="21" t="s">
        <v>179</v>
      </c>
    </row>
    <row r="35" spans="1:12" ht="14.5" thickBot="1" x14ac:dyDescent="0.35">
      <c r="A35">
        <v>1642</v>
      </c>
      <c r="B35" s="21" t="s">
        <v>568</v>
      </c>
      <c r="C35" s="21" t="s">
        <v>567</v>
      </c>
      <c r="D35" s="21" t="s">
        <v>373</v>
      </c>
      <c r="E35" s="22">
        <v>45944</v>
      </c>
      <c r="F35" s="23">
        <v>0.9375</v>
      </c>
      <c r="G35" s="21" t="s">
        <v>558</v>
      </c>
      <c r="H35" s="21" t="s">
        <v>541</v>
      </c>
      <c r="I35" s="21">
        <v>42</v>
      </c>
      <c r="J35" s="21">
        <v>42</v>
      </c>
      <c r="K35" s="24"/>
      <c r="L35" s="21" t="s">
        <v>179</v>
      </c>
    </row>
    <row r="36" spans="1:12" ht="14.5" thickBot="1" x14ac:dyDescent="0.35">
      <c r="A36">
        <v>1642</v>
      </c>
      <c r="B36" s="21" t="s">
        <v>569</v>
      </c>
      <c r="C36" s="21" t="s">
        <v>570</v>
      </c>
      <c r="D36" s="21" t="s">
        <v>446</v>
      </c>
      <c r="E36" s="22">
        <v>45944</v>
      </c>
      <c r="F36" s="23">
        <v>0.55138888888888893</v>
      </c>
      <c r="G36" s="21" t="s">
        <v>552</v>
      </c>
      <c r="H36" s="21" t="s">
        <v>513</v>
      </c>
      <c r="I36" s="21">
        <v>200</v>
      </c>
      <c r="J36" s="21">
        <v>200</v>
      </c>
      <c r="K36" s="24"/>
      <c r="L36" s="21" t="s">
        <v>179</v>
      </c>
    </row>
    <row r="37" spans="1:12" ht="14.5" thickBot="1" x14ac:dyDescent="0.35">
      <c r="A37">
        <v>1642</v>
      </c>
      <c r="B37" s="21" t="s">
        <v>571</v>
      </c>
      <c r="C37" s="21" t="s">
        <v>570</v>
      </c>
      <c r="D37" s="21" t="s">
        <v>446</v>
      </c>
      <c r="E37" s="22">
        <v>45944</v>
      </c>
      <c r="F37" s="23">
        <v>0.9375</v>
      </c>
      <c r="G37" s="21" t="s">
        <v>552</v>
      </c>
      <c r="H37" s="21" t="s">
        <v>513</v>
      </c>
      <c r="I37" s="21">
        <v>40</v>
      </c>
      <c r="J37" s="21">
        <v>40</v>
      </c>
      <c r="K37" s="24"/>
      <c r="L37" s="21" t="s">
        <v>179</v>
      </c>
    </row>
    <row r="38" spans="1:12" ht="14.5" thickBot="1" x14ac:dyDescent="0.35">
      <c r="A38">
        <v>1642</v>
      </c>
      <c r="B38" s="21" t="s">
        <v>572</v>
      </c>
      <c r="C38" s="21" t="s">
        <v>573</v>
      </c>
      <c r="D38" s="21" t="s">
        <v>446</v>
      </c>
      <c r="E38" s="22">
        <v>45944</v>
      </c>
      <c r="F38" s="23">
        <v>0.55138888888888893</v>
      </c>
      <c r="G38" s="21" t="s">
        <v>552</v>
      </c>
      <c r="H38" s="21" t="s">
        <v>513</v>
      </c>
      <c r="I38" s="21">
        <v>8</v>
      </c>
      <c r="J38" s="21">
        <v>8</v>
      </c>
      <c r="K38" s="24"/>
      <c r="L38" s="21" t="s">
        <v>179</v>
      </c>
    </row>
    <row r="39" spans="1:12" ht="14.5" thickBot="1" x14ac:dyDescent="0.35">
      <c r="A39">
        <v>1642</v>
      </c>
      <c r="B39" s="21" t="s">
        <v>574</v>
      </c>
      <c r="C39" s="21" t="s">
        <v>575</v>
      </c>
      <c r="D39" s="21" t="s">
        <v>446</v>
      </c>
      <c r="E39" s="22">
        <v>45944</v>
      </c>
      <c r="F39" s="23">
        <v>0.55138888888888893</v>
      </c>
      <c r="G39" s="21" t="s">
        <v>558</v>
      </c>
      <c r="H39" s="21" t="s">
        <v>537</v>
      </c>
      <c r="I39" s="21">
        <v>60</v>
      </c>
      <c r="J39" s="21">
        <v>60</v>
      </c>
      <c r="K39" s="24"/>
      <c r="L39" s="21" t="s">
        <v>179</v>
      </c>
    </row>
    <row r="40" spans="1:12" ht="14.5" thickBot="1" x14ac:dyDescent="0.35">
      <c r="A40">
        <v>1642</v>
      </c>
      <c r="B40" s="21" t="s">
        <v>576</v>
      </c>
      <c r="C40" s="21" t="s">
        <v>575</v>
      </c>
      <c r="D40" s="21" t="s">
        <v>446</v>
      </c>
      <c r="E40" s="22">
        <v>45944</v>
      </c>
      <c r="F40" s="23">
        <v>0.9375</v>
      </c>
      <c r="G40" s="21" t="s">
        <v>558</v>
      </c>
      <c r="H40" s="21" t="s">
        <v>537</v>
      </c>
      <c r="I40" s="21">
        <v>15</v>
      </c>
      <c r="J40" s="21">
        <v>15</v>
      </c>
      <c r="K40" s="24"/>
      <c r="L40" s="21" t="s">
        <v>179</v>
      </c>
    </row>
    <row r="41" spans="1:12" ht="14.5" thickBot="1" x14ac:dyDescent="0.35">
      <c r="A41">
        <v>1642</v>
      </c>
      <c r="B41" s="21" t="s">
        <v>577</v>
      </c>
      <c r="C41" s="21" t="s">
        <v>449</v>
      </c>
      <c r="D41" s="21" t="s">
        <v>446</v>
      </c>
      <c r="E41" s="22">
        <v>45944</v>
      </c>
      <c r="F41" s="23">
        <v>0.55138888888888893</v>
      </c>
      <c r="G41" s="21" t="s">
        <v>552</v>
      </c>
      <c r="H41" s="21" t="s">
        <v>515</v>
      </c>
      <c r="I41" s="21">
        <v>480</v>
      </c>
      <c r="J41" s="21">
        <v>480</v>
      </c>
      <c r="K41" s="24"/>
      <c r="L41" s="21" t="s">
        <v>179</v>
      </c>
    </row>
    <row r="42" spans="1:12" ht="14.5" thickBot="1" x14ac:dyDescent="0.35">
      <c r="A42">
        <v>1642</v>
      </c>
      <c r="B42" s="21" t="s">
        <v>578</v>
      </c>
      <c r="C42" s="21" t="s">
        <v>449</v>
      </c>
      <c r="D42" s="21" t="s">
        <v>446</v>
      </c>
      <c r="E42" s="22">
        <v>45944</v>
      </c>
      <c r="F42" s="23">
        <v>0.9375</v>
      </c>
      <c r="G42" s="21" t="s">
        <v>552</v>
      </c>
      <c r="H42" s="21" t="s">
        <v>515</v>
      </c>
      <c r="I42" s="21">
        <v>32</v>
      </c>
      <c r="J42" s="21">
        <v>32</v>
      </c>
      <c r="K42" s="24"/>
      <c r="L42" s="21" t="s">
        <v>179</v>
      </c>
    </row>
    <row r="43" spans="1:12" ht="14.5" thickBot="1" x14ac:dyDescent="0.35">
      <c r="A43">
        <v>1642</v>
      </c>
      <c r="B43" s="21" t="s">
        <v>579</v>
      </c>
      <c r="C43" s="21" t="s">
        <v>580</v>
      </c>
      <c r="D43" s="21" t="s">
        <v>446</v>
      </c>
      <c r="E43" s="22">
        <v>45944</v>
      </c>
      <c r="F43" s="23">
        <v>0.55138888888888893</v>
      </c>
      <c r="G43" s="21" t="s">
        <v>558</v>
      </c>
      <c r="H43" s="21" t="s">
        <v>541</v>
      </c>
      <c r="I43" s="21">
        <v>56</v>
      </c>
      <c r="J43" s="21">
        <v>56</v>
      </c>
      <c r="K43" s="24"/>
      <c r="L43" s="21" t="s">
        <v>179</v>
      </c>
    </row>
    <row r="44" spans="1:12" ht="14.5" thickBot="1" x14ac:dyDescent="0.35">
      <c r="A44">
        <v>1642</v>
      </c>
      <c r="B44" s="21" t="s">
        <v>581</v>
      </c>
      <c r="C44" s="21" t="s">
        <v>582</v>
      </c>
      <c r="D44" s="21" t="s">
        <v>446</v>
      </c>
      <c r="E44" s="22">
        <v>45944</v>
      </c>
      <c r="F44" s="23">
        <v>0.55138888888888893</v>
      </c>
      <c r="G44" s="21" t="s">
        <v>558</v>
      </c>
      <c r="H44" s="21" t="s">
        <v>541</v>
      </c>
      <c r="I44" s="21">
        <v>24</v>
      </c>
      <c r="J44" s="21">
        <v>24</v>
      </c>
      <c r="K44" s="24"/>
      <c r="L44" s="21" t="s">
        <v>179</v>
      </c>
    </row>
    <row r="45" spans="1:12" ht="14.5" thickBot="1" x14ac:dyDescent="0.35">
      <c r="A45">
        <v>1642</v>
      </c>
      <c r="B45" s="21" t="s">
        <v>583</v>
      </c>
      <c r="C45" s="21" t="s">
        <v>582</v>
      </c>
      <c r="D45" s="21" t="s">
        <v>446</v>
      </c>
      <c r="E45" s="22">
        <v>45944</v>
      </c>
      <c r="F45" s="23">
        <v>0.9375</v>
      </c>
      <c r="G45" s="21" t="s">
        <v>558</v>
      </c>
      <c r="H45" s="21" t="s">
        <v>541</v>
      </c>
      <c r="I45" s="21">
        <v>6</v>
      </c>
      <c r="J45" s="21">
        <v>6</v>
      </c>
      <c r="K45" s="24"/>
      <c r="L45" s="21" t="s">
        <v>179</v>
      </c>
    </row>
    <row r="46" spans="1:12" ht="14.5" thickBot="1" x14ac:dyDescent="0.35">
      <c r="A46">
        <v>1642</v>
      </c>
      <c r="B46" s="21" t="s">
        <v>584</v>
      </c>
      <c r="C46" s="21" t="s">
        <v>585</v>
      </c>
      <c r="D46" s="21" t="s">
        <v>446</v>
      </c>
      <c r="E46" s="22">
        <v>45944</v>
      </c>
      <c r="F46" s="23">
        <v>0.55138888888888893</v>
      </c>
      <c r="G46" s="21" t="s">
        <v>558</v>
      </c>
      <c r="H46" s="21" t="s">
        <v>541</v>
      </c>
      <c r="I46" s="21">
        <v>402</v>
      </c>
      <c r="J46" s="21">
        <v>402</v>
      </c>
      <c r="K46" s="24"/>
      <c r="L46" s="21" t="s">
        <v>179</v>
      </c>
    </row>
    <row r="47" spans="1:12" ht="14.5" thickBot="1" x14ac:dyDescent="0.35">
      <c r="A47">
        <v>1642</v>
      </c>
      <c r="B47" s="21" t="s">
        <v>586</v>
      </c>
      <c r="C47" s="21" t="s">
        <v>585</v>
      </c>
      <c r="D47" s="21" t="s">
        <v>446</v>
      </c>
      <c r="E47" s="22">
        <v>45944</v>
      </c>
      <c r="F47" s="23">
        <v>0.9375</v>
      </c>
      <c r="G47" s="21" t="s">
        <v>558</v>
      </c>
      <c r="H47" s="21" t="s">
        <v>541</v>
      </c>
      <c r="I47" s="21">
        <v>48</v>
      </c>
      <c r="J47" s="21">
        <v>48</v>
      </c>
      <c r="K47" s="24"/>
      <c r="L47" s="21" t="s">
        <v>179</v>
      </c>
    </row>
    <row r="48" spans="1:12" ht="14.5" thickBot="1" x14ac:dyDescent="0.35">
      <c r="A48">
        <v>1642</v>
      </c>
      <c r="B48" s="21" t="s">
        <v>587</v>
      </c>
      <c r="C48" s="21" t="s">
        <v>588</v>
      </c>
      <c r="D48" s="21" t="s">
        <v>589</v>
      </c>
      <c r="E48" s="22">
        <v>45944</v>
      </c>
      <c r="F48" s="23">
        <v>0.55138888888888893</v>
      </c>
      <c r="G48" s="21" t="s">
        <v>590</v>
      </c>
      <c r="H48" s="21" t="s">
        <v>546</v>
      </c>
      <c r="I48" s="21">
        <v>598</v>
      </c>
      <c r="J48" s="21">
        <v>598</v>
      </c>
      <c r="K48" s="24"/>
      <c r="L48" s="21" t="s">
        <v>179</v>
      </c>
    </row>
    <row r="49" spans="1:12" ht="14.5" thickBot="1" x14ac:dyDescent="0.35">
      <c r="A49">
        <v>1642</v>
      </c>
      <c r="B49" s="21" t="s">
        <v>591</v>
      </c>
      <c r="C49" s="21" t="s">
        <v>588</v>
      </c>
      <c r="D49" s="21" t="s">
        <v>589</v>
      </c>
      <c r="E49" s="22">
        <v>45944</v>
      </c>
      <c r="F49" s="23">
        <v>0.9375</v>
      </c>
      <c r="G49" s="21" t="s">
        <v>590</v>
      </c>
      <c r="H49" s="21" t="s">
        <v>546</v>
      </c>
      <c r="I49" s="21">
        <v>104</v>
      </c>
      <c r="J49" s="21">
        <v>104</v>
      </c>
      <c r="K49" s="24"/>
      <c r="L49" s="21" t="s">
        <v>179</v>
      </c>
    </row>
    <row r="50" spans="1:12" ht="14.5" thickBot="1" x14ac:dyDescent="0.35">
      <c r="A50">
        <v>1642</v>
      </c>
      <c r="B50" s="21" t="s">
        <v>592</v>
      </c>
      <c r="C50" s="21" t="s">
        <v>593</v>
      </c>
      <c r="D50" s="21" t="s">
        <v>594</v>
      </c>
      <c r="E50" s="22">
        <v>45944</v>
      </c>
      <c r="F50" s="23">
        <v>0.55138888888888893</v>
      </c>
      <c r="G50" s="21" t="s">
        <v>595</v>
      </c>
      <c r="H50" s="21" t="s">
        <v>546</v>
      </c>
      <c r="I50" s="21">
        <v>8</v>
      </c>
      <c r="J50" s="21">
        <v>8</v>
      </c>
      <c r="K50" s="24"/>
      <c r="L50" s="21" t="s">
        <v>179</v>
      </c>
    </row>
    <row r="51" spans="1:12" ht="14.5" thickBot="1" x14ac:dyDescent="0.35">
      <c r="A51">
        <v>1642</v>
      </c>
      <c r="B51" s="21" t="s">
        <v>596</v>
      </c>
      <c r="C51" s="21" t="s">
        <v>597</v>
      </c>
      <c r="D51" s="21" t="s">
        <v>594</v>
      </c>
      <c r="E51" s="22">
        <v>45944</v>
      </c>
      <c r="F51" s="23">
        <v>0.55138888888888893</v>
      </c>
      <c r="G51" s="21" t="s">
        <v>595</v>
      </c>
      <c r="H51" s="21" t="s">
        <v>546</v>
      </c>
      <c r="I51" s="21">
        <v>584</v>
      </c>
      <c r="J51" s="21">
        <v>584</v>
      </c>
      <c r="K51" s="24"/>
      <c r="L51" s="21" t="s">
        <v>179</v>
      </c>
    </row>
    <row r="52" spans="1:12" ht="14.5" thickBot="1" x14ac:dyDescent="0.35">
      <c r="A52">
        <v>1642</v>
      </c>
      <c r="B52" s="21" t="s">
        <v>598</v>
      </c>
      <c r="C52" s="21" t="s">
        <v>597</v>
      </c>
      <c r="D52" s="21" t="s">
        <v>594</v>
      </c>
      <c r="E52" s="22">
        <v>45944</v>
      </c>
      <c r="F52" s="23">
        <v>0.9375</v>
      </c>
      <c r="G52" s="21" t="s">
        <v>595</v>
      </c>
      <c r="H52" s="21" t="s">
        <v>546</v>
      </c>
      <c r="I52" s="21">
        <v>104</v>
      </c>
      <c r="J52" s="21">
        <v>104</v>
      </c>
      <c r="K52" s="24"/>
      <c r="L52" s="21" t="s">
        <v>179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45C9-3496-46BB-B70A-437628CB6B5A}">
  <sheetPr>
    <tabColor rgb="FF00B050"/>
  </sheetPr>
  <dimension ref="A1"/>
  <sheetViews>
    <sheetView workbookViewId="0"/>
  </sheetViews>
  <sheetFormatPr defaultRowHeight="14" x14ac:dyDescent="0.3"/>
  <sheetData/>
  <pageMargins left="0.7" right="0.7" top="0.75" bottom="0.75" header="0.3" footer="0.3"/>
  <pageSetup orientation="portrait" r:id="rId1"/>
  <headerFooter>
    <oddFooter>&amp;R&amp;R &amp;KA6A6A6Internal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2AD8-C40B-4FE3-B6CE-0989FA8CDACB}">
  <sheetPr>
    <tabColor rgb="FF00B050"/>
  </sheetPr>
  <dimension ref="A1:K12"/>
  <sheetViews>
    <sheetView tabSelected="1" workbookViewId="0">
      <selection activeCell="C14" sqref="C14"/>
    </sheetView>
  </sheetViews>
  <sheetFormatPr defaultRowHeight="14" x14ac:dyDescent="0.3"/>
  <cols>
    <col min="1" max="1" width="15.08203125" bestFit="1" customWidth="1"/>
    <col min="2" max="2" width="15.58203125" bestFit="1" customWidth="1"/>
    <col min="3" max="3" width="11.1640625" bestFit="1" customWidth="1"/>
    <col min="4" max="4" width="7.9140625" bestFit="1" customWidth="1"/>
    <col min="5" max="5" width="16.9140625" bestFit="1" customWidth="1"/>
    <col min="6" max="6" width="8.5" bestFit="1" customWidth="1"/>
    <col min="7" max="7" width="25.5" bestFit="1" customWidth="1"/>
    <col min="8" max="8" width="7.5" bestFit="1" customWidth="1"/>
    <col min="9" max="9" width="7.1640625" bestFit="1" customWidth="1"/>
    <col min="10" max="10" width="15.58203125" bestFit="1" customWidth="1"/>
    <col min="11" max="11" width="16.83203125" bestFit="1" customWidth="1"/>
  </cols>
  <sheetData>
    <row r="1" spans="1:11" ht="14.5" x14ac:dyDescent="0.35">
      <c r="A1" s="1" t="s">
        <v>0</v>
      </c>
      <c r="B1" s="25" t="s">
        <v>599</v>
      </c>
      <c r="C1" s="25" t="s">
        <v>600</v>
      </c>
      <c r="D1" s="25" t="s">
        <v>601</v>
      </c>
      <c r="E1" s="25" t="s">
        <v>602</v>
      </c>
      <c r="F1" s="25" t="s">
        <v>603</v>
      </c>
      <c r="G1" s="25" t="s">
        <v>604</v>
      </c>
      <c r="H1" s="25" t="s">
        <v>605</v>
      </c>
      <c r="I1" s="25" t="s">
        <v>606</v>
      </c>
      <c r="J1" s="25" t="s">
        <v>607</v>
      </c>
      <c r="K1" s="25" t="s">
        <v>608</v>
      </c>
    </row>
    <row r="2" spans="1:11" x14ac:dyDescent="0.3">
      <c r="A2">
        <v>1089</v>
      </c>
      <c r="B2" s="26" t="s">
        <v>609</v>
      </c>
      <c r="C2" s="26" t="s">
        <v>610</v>
      </c>
      <c r="D2" s="26" t="s">
        <v>611</v>
      </c>
      <c r="E2" s="26" t="s">
        <v>612</v>
      </c>
      <c r="F2" s="26" t="s">
        <v>613</v>
      </c>
      <c r="G2" s="26" t="s">
        <v>614</v>
      </c>
      <c r="H2" s="26">
        <v>60</v>
      </c>
      <c r="I2" s="26" t="s">
        <v>615</v>
      </c>
      <c r="J2" s="26" t="s">
        <v>616</v>
      </c>
      <c r="K2" s="26" t="s">
        <v>617</v>
      </c>
    </row>
    <row r="3" spans="1:11" x14ac:dyDescent="0.3">
      <c r="A3">
        <v>1089</v>
      </c>
      <c r="B3" s="26" t="s">
        <v>618</v>
      </c>
      <c r="C3" s="26" t="s">
        <v>610</v>
      </c>
      <c r="D3" s="26" t="s">
        <v>611</v>
      </c>
      <c r="E3" s="26" t="s">
        <v>619</v>
      </c>
      <c r="F3" s="26" t="s">
        <v>620</v>
      </c>
      <c r="G3" s="26" t="s">
        <v>621</v>
      </c>
      <c r="H3" s="26">
        <v>120</v>
      </c>
      <c r="I3" s="26" t="s">
        <v>615</v>
      </c>
      <c r="J3" s="26" t="s">
        <v>616</v>
      </c>
      <c r="K3" s="26" t="s">
        <v>617</v>
      </c>
    </row>
    <row r="4" spans="1:11" x14ac:dyDescent="0.3">
      <c r="A4">
        <v>1089</v>
      </c>
      <c r="B4" s="26" t="s">
        <v>622</v>
      </c>
      <c r="C4" s="26" t="s">
        <v>610</v>
      </c>
      <c r="D4" s="26" t="s">
        <v>611</v>
      </c>
      <c r="E4" s="26" t="s">
        <v>623</v>
      </c>
      <c r="F4" s="26" t="s">
        <v>620</v>
      </c>
      <c r="G4" s="26" t="s">
        <v>624</v>
      </c>
      <c r="H4" s="26">
        <v>54</v>
      </c>
      <c r="I4" s="26" t="s">
        <v>615</v>
      </c>
      <c r="J4" s="26" t="s">
        <v>616</v>
      </c>
      <c r="K4" s="26" t="s">
        <v>617</v>
      </c>
    </row>
    <row r="5" spans="1:11" x14ac:dyDescent="0.3">
      <c r="A5">
        <v>1089</v>
      </c>
      <c r="B5" s="26" t="s">
        <v>625</v>
      </c>
      <c r="C5" s="26" t="s">
        <v>610</v>
      </c>
      <c r="D5" s="26" t="s">
        <v>611</v>
      </c>
      <c r="E5" s="26" t="s">
        <v>626</v>
      </c>
      <c r="F5" s="26" t="s">
        <v>620</v>
      </c>
      <c r="G5" s="26" t="s">
        <v>627</v>
      </c>
      <c r="H5" s="26">
        <v>45</v>
      </c>
      <c r="I5" s="26" t="s">
        <v>615</v>
      </c>
      <c r="J5" s="26" t="s">
        <v>616</v>
      </c>
      <c r="K5" s="26" t="s">
        <v>617</v>
      </c>
    </row>
    <row r="6" spans="1:11" x14ac:dyDescent="0.3">
      <c r="A6">
        <v>1089</v>
      </c>
      <c r="B6" s="26" t="s">
        <v>628</v>
      </c>
      <c r="C6" s="26" t="s">
        <v>610</v>
      </c>
      <c r="D6" s="26" t="s">
        <v>611</v>
      </c>
      <c r="E6" s="26" t="s">
        <v>629</v>
      </c>
      <c r="F6" s="26" t="s">
        <v>613</v>
      </c>
      <c r="G6" s="26" t="s">
        <v>630</v>
      </c>
      <c r="H6" s="26">
        <v>360</v>
      </c>
      <c r="I6" s="26" t="s">
        <v>615</v>
      </c>
      <c r="J6" s="26" t="s">
        <v>616</v>
      </c>
      <c r="K6" s="26" t="s">
        <v>617</v>
      </c>
    </row>
    <row r="7" spans="1:11" x14ac:dyDescent="0.3">
      <c r="A7">
        <v>1089</v>
      </c>
      <c r="B7" s="26" t="s">
        <v>631</v>
      </c>
      <c r="C7" s="26" t="s">
        <v>610</v>
      </c>
      <c r="D7" s="26" t="s">
        <v>611</v>
      </c>
      <c r="E7" s="26" t="s">
        <v>632</v>
      </c>
      <c r="F7" s="26" t="s">
        <v>620</v>
      </c>
      <c r="G7" s="26" t="s">
        <v>633</v>
      </c>
      <c r="H7" s="26">
        <v>60</v>
      </c>
      <c r="I7" s="26" t="s">
        <v>634</v>
      </c>
      <c r="J7" s="26" t="s">
        <v>635</v>
      </c>
      <c r="K7" s="26" t="s">
        <v>636</v>
      </c>
    </row>
    <row r="8" spans="1:11" x14ac:dyDescent="0.3">
      <c r="A8">
        <v>1089</v>
      </c>
      <c r="B8" s="26" t="s">
        <v>637</v>
      </c>
      <c r="C8" s="26" t="s">
        <v>610</v>
      </c>
      <c r="D8" s="26" t="s">
        <v>611</v>
      </c>
      <c r="E8" s="26" t="s">
        <v>619</v>
      </c>
      <c r="F8" s="26" t="s">
        <v>620</v>
      </c>
      <c r="G8" s="26" t="s">
        <v>621</v>
      </c>
      <c r="H8" s="26">
        <v>120</v>
      </c>
      <c r="I8" s="26" t="s">
        <v>634</v>
      </c>
      <c r="J8" s="26" t="s">
        <v>635</v>
      </c>
      <c r="K8" s="26" t="s">
        <v>636</v>
      </c>
    </row>
    <row r="9" spans="1:11" x14ac:dyDescent="0.3">
      <c r="A9">
        <v>1089</v>
      </c>
      <c r="B9" s="26" t="s">
        <v>638</v>
      </c>
      <c r="C9" s="26" t="s">
        <v>610</v>
      </c>
      <c r="D9" s="26" t="s">
        <v>611</v>
      </c>
      <c r="E9" s="26" t="s">
        <v>639</v>
      </c>
      <c r="F9" s="26" t="s">
        <v>620</v>
      </c>
      <c r="G9" s="26" t="s">
        <v>640</v>
      </c>
      <c r="H9" s="26">
        <v>60</v>
      </c>
      <c r="I9" s="26" t="s">
        <v>634</v>
      </c>
      <c r="J9" s="26" t="s">
        <v>635</v>
      </c>
      <c r="K9" s="26" t="s">
        <v>636</v>
      </c>
    </row>
    <row r="10" spans="1:11" x14ac:dyDescent="0.3">
      <c r="A10">
        <v>1089</v>
      </c>
      <c r="B10" s="26" t="s">
        <v>641</v>
      </c>
      <c r="C10" s="26" t="s">
        <v>610</v>
      </c>
      <c r="D10" s="26" t="s">
        <v>611</v>
      </c>
      <c r="E10" s="26" t="s">
        <v>629</v>
      </c>
      <c r="F10" s="26" t="s">
        <v>613</v>
      </c>
      <c r="G10" s="26" t="s">
        <v>630</v>
      </c>
      <c r="H10" s="26">
        <v>120</v>
      </c>
      <c r="I10" s="26" t="s">
        <v>634</v>
      </c>
      <c r="J10" s="26" t="s">
        <v>635</v>
      </c>
      <c r="K10" s="26" t="s">
        <v>636</v>
      </c>
    </row>
    <row r="11" spans="1:11" x14ac:dyDescent="0.3">
      <c r="A11">
        <v>1089</v>
      </c>
      <c r="B11" s="26" t="s">
        <v>642</v>
      </c>
      <c r="C11" s="26" t="s">
        <v>610</v>
      </c>
      <c r="D11" s="26" t="s">
        <v>643</v>
      </c>
      <c r="E11" s="26" t="s">
        <v>644</v>
      </c>
      <c r="F11" s="26" t="s">
        <v>645</v>
      </c>
      <c r="G11" s="26" t="s">
        <v>646</v>
      </c>
      <c r="H11" s="26">
        <v>1320</v>
      </c>
      <c r="I11" s="26" t="s">
        <v>634</v>
      </c>
      <c r="J11" s="26" t="s">
        <v>635</v>
      </c>
      <c r="K11" s="26" t="s">
        <v>647</v>
      </c>
    </row>
    <row r="12" spans="1:11" x14ac:dyDescent="0.3">
      <c r="A12">
        <v>1089</v>
      </c>
      <c r="B12" s="26" t="s">
        <v>648</v>
      </c>
      <c r="C12" s="26" t="s">
        <v>610</v>
      </c>
      <c r="D12" s="26" t="s">
        <v>643</v>
      </c>
      <c r="E12" s="26" t="s">
        <v>649</v>
      </c>
      <c r="F12" s="26" t="s">
        <v>645</v>
      </c>
      <c r="G12" s="26" t="s">
        <v>650</v>
      </c>
      <c r="H12" s="26">
        <v>1320</v>
      </c>
      <c r="I12" s="26" t="s">
        <v>634</v>
      </c>
      <c r="J12" s="26" t="s">
        <v>635</v>
      </c>
      <c r="K12" s="26" t="s">
        <v>647</v>
      </c>
    </row>
  </sheetData>
  <pageMargins left="0.7" right="0.7" top="0.75" bottom="0.75" header="0.3" footer="0.3"/>
  <pageSetup paperSize="9" orientation="portrait" r:id="rId1"/>
  <headerFooter>
    <oddFooter>&amp;R&amp;R &amp;KA6A6A6Internal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KML Manesar 1228</vt:lpstr>
      <vt:lpstr>KML Narshinghpur 1227</vt:lpstr>
      <vt:lpstr>KML Kharkhoda 1647</vt:lpstr>
      <vt:lpstr>BSL Manesar 1223</vt:lpstr>
      <vt:lpstr>BSL Gurgaon 1222</vt:lpstr>
      <vt:lpstr>BSL Kharkhoda 1643</vt:lpstr>
      <vt:lpstr>Renault Chennai 1346</vt:lpstr>
      <vt:lpstr>Skoda VW 1502</vt:lpstr>
      <vt:lpstr>Mahindra Haridwar 1244</vt:lpstr>
      <vt:lpstr>TS Tech Neemrana 1193</vt:lpstr>
      <vt:lpstr>MSIL Kharkhoda 1640</vt:lpstr>
      <vt:lpstr>MSIL Manesar 1231</vt:lpstr>
      <vt:lpstr>MSIL GGN 1642</vt:lpstr>
      <vt:lpstr>Sheet1</vt:lpstr>
      <vt:lpstr>Honda Car 1089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Sharma</dc:creator>
  <cp:keywords>Internal</cp:keywords>
  <cp:lastModifiedBy>Abhinay Sharma</cp:lastModifiedBy>
  <cp:lastPrinted>2016-08-31T14:13:20Z</cp:lastPrinted>
  <dcterms:created xsi:type="dcterms:W3CDTF">2016-08-31T13:14:14Z</dcterms:created>
  <dcterms:modified xsi:type="dcterms:W3CDTF">2025-10-16T05:17:36Z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</Properties>
</file>